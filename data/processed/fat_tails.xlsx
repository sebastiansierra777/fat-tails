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ebas\Documents\Python\Python Projects\fat_tails\data\processed\"/>
    </mc:Choice>
  </mc:AlternateContent>
  <xr:revisionPtr revIDLastSave="0" documentId="13_ncr:1_{37799DAB-710E-4849-BDC0-928854672D7E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palantir" sheetId="1" r:id="rId1"/>
    <sheet name="palantir_log" sheetId="2" r:id="rId2"/>
    <sheet name="tesla" sheetId="3" r:id="rId3"/>
    <sheet name="tesla_lo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" i="4"/>
  <c r="D228" i="4"/>
  <c r="D229" i="4"/>
  <c r="D230" i="4"/>
  <c r="D231" i="4"/>
  <c r="D232" i="4"/>
  <c r="D233" i="4"/>
  <c r="D227" i="4"/>
  <c r="D233" i="2"/>
  <c r="D232" i="2"/>
  <c r="D231" i="2"/>
  <c r="D230" i="2"/>
  <c r="D229" i="2"/>
  <c r="D228" i="2"/>
  <c r="D227" i="2"/>
</calcChain>
</file>

<file path=xl/sharedStrings.xml><?xml version="1.0" encoding="utf-8"?>
<sst xmlns="http://schemas.openxmlformats.org/spreadsheetml/2006/main" count="946" uniqueCount="461">
  <si>
    <t>Date</t>
  </si>
  <si>
    <t>Price</t>
  </si>
  <si>
    <t>Open</t>
  </si>
  <si>
    <t>High</t>
  </si>
  <si>
    <t>Low</t>
  </si>
  <si>
    <t>Vol.</t>
  </si>
  <si>
    <t>Change %</t>
  </si>
  <si>
    <t>78.44M</t>
  </si>
  <si>
    <t>46.11M</t>
  </si>
  <si>
    <t>53.71M</t>
  </si>
  <si>
    <t>50.34M</t>
  </si>
  <si>
    <t>62.60M</t>
  </si>
  <si>
    <t>63.19M</t>
  </si>
  <si>
    <t>55.35M</t>
  </si>
  <si>
    <t>49.82M</t>
  </si>
  <si>
    <t>87.76M</t>
  </si>
  <si>
    <t>73.99M</t>
  </si>
  <si>
    <t>78.47M</t>
  </si>
  <si>
    <t>76.12M</t>
  </si>
  <si>
    <t>121.38M</t>
  </si>
  <si>
    <t>81.02M</t>
  </si>
  <si>
    <t>52.70M</t>
  </si>
  <si>
    <t>43.54M</t>
  </si>
  <si>
    <t>65.54M</t>
  </si>
  <si>
    <t>38.20M</t>
  </si>
  <si>
    <t>47.15M</t>
  </si>
  <si>
    <t>34.81M</t>
  </si>
  <si>
    <t>35.81M</t>
  </si>
  <si>
    <t>58.26M</t>
  </si>
  <si>
    <t>27.53M</t>
  </si>
  <si>
    <t>31.98M</t>
  </si>
  <si>
    <t>43.42M</t>
  </si>
  <si>
    <t>42.87M</t>
  </si>
  <si>
    <t>37.37M</t>
  </si>
  <si>
    <t>49.26M</t>
  </si>
  <si>
    <t>41.33M</t>
  </si>
  <si>
    <t>55.19M</t>
  </si>
  <si>
    <t>45.05M</t>
  </si>
  <si>
    <t>36.30M</t>
  </si>
  <si>
    <t>58.18M</t>
  </si>
  <si>
    <t>52.50M</t>
  </si>
  <si>
    <t>105.53M</t>
  </si>
  <si>
    <t>39.85M</t>
  </si>
  <si>
    <t>45.72M</t>
  </si>
  <si>
    <t>43.56M</t>
  </si>
  <si>
    <t>38.41M</t>
  </si>
  <si>
    <t>44.28M</t>
  </si>
  <si>
    <t>72.32M</t>
  </si>
  <si>
    <t>45.38M</t>
  </si>
  <si>
    <t>62.35M</t>
  </si>
  <si>
    <t>45.92M</t>
  </si>
  <si>
    <t>109.13M</t>
  </si>
  <si>
    <t>70.77M</t>
  </si>
  <si>
    <t>69.26M</t>
  </si>
  <si>
    <t>34.60M</t>
  </si>
  <si>
    <t>45.40M</t>
  </si>
  <si>
    <t>54.50M</t>
  </si>
  <si>
    <t>42.03M</t>
  </si>
  <si>
    <t>62.21M</t>
  </si>
  <si>
    <t>61.36M</t>
  </si>
  <si>
    <t>47.64M</t>
  </si>
  <si>
    <t>81.86M</t>
  </si>
  <si>
    <t>53.29M</t>
  </si>
  <si>
    <t>66.05M</t>
  </si>
  <si>
    <t>65.43M</t>
  </si>
  <si>
    <t>45.27M</t>
  </si>
  <si>
    <t>57.89M</t>
  </si>
  <si>
    <t>76.38M</t>
  </si>
  <si>
    <t>86.57M</t>
  </si>
  <si>
    <t>86.88M</t>
  </si>
  <si>
    <t>102.10M</t>
  </si>
  <si>
    <t>94.68M</t>
  </si>
  <si>
    <t>220.34M</t>
  </si>
  <si>
    <t>137.92M</t>
  </si>
  <si>
    <t>62.66M</t>
  </si>
  <si>
    <t>60.29M</t>
  </si>
  <si>
    <t>53.47M</t>
  </si>
  <si>
    <t>53.61M</t>
  </si>
  <si>
    <t>54.98M</t>
  </si>
  <si>
    <t>56.13M</t>
  </si>
  <si>
    <t>77.83M</t>
  </si>
  <si>
    <t>82.92M</t>
  </si>
  <si>
    <t>130.92M</t>
  </si>
  <si>
    <t>82.99M</t>
  </si>
  <si>
    <t>61.29M</t>
  </si>
  <si>
    <t>45.34M</t>
  </si>
  <si>
    <t>40.26M</t>
  </si>
  <si>
    <t>42.43M</t>
  </si>
  <si>
    <t>63.89M</t>
  </si>
  <si>
    <t>57.97M</t>
  </si>
  <si>
    <t>38.93M</t>
  </si>
  <si>
    <t>48.06M</t>
  </si>
  <si>
    <t>49.88M</t>
  </si>
  <si>
    <t>45.07M</t>
  </si>
  <si>
    <t>45.77M</t>
  </si>
  <si>
    <t>60.17M</t>
  </si>
  <si>
    <t>57.64M</t>
  </si>
  <si>
    <t>59.13M</t>
  </si>
  <si>
    <t>81.77M</t>
  </si>
  <si>
    <t>52.13M</t>
  </si>
  <si>
    <t>64.38M</t>
  </si>
  <si>
    <t>68.49M</t>
  </si>
  <si>
    <t>59.83M</t>
  </si>
  <si>
    <t>71.96M</t>
  </si>
  <si>
    <t>41.81M</t>
  </si>
  <si>
    <t>59.73M</t>
  </si>
  <si>
    <t>91.48M</t>
  </si>
  <si>
    <t>97.31M</t>
  </si>
  <si>
    <t>202.60M</t>
  </si>
  <si>
    <t>69.44M</t>
  </si>
  <si>
    <t>61.44M</t>
  </si>
  <si>
    <t>58.57M</t>
  </si>
  <si>
    <t>70.50M</t>
  </si>
  <si>
    <t>87.07M</t>
  </si>
  <si>
    <t>70.48M</t>
  </si>
  <si>
    <t>80.78M</t>
  </si>
  <si>
    <t>93.52M</t>
  </si>
  <si>
    <t>56.25M</t>
  </si>
  <si>
    <t>97.37M</t>
  </si>
  <si>
    <t>69.31M</t>
  </si>
  <si>
    <t>74.79M</t>
  </si>
  <si>
    <t>87.18M</t>
  </si>
  <si>
    <t>132.24M</t>
  </si>
  <si>
    <t>91.30M</t>
  </si>
  <si>
    <t>93.22M</t>
  </si>
  <si>
    <t>185.90M</t>
  </si>
  <si>
    <t>63.14M</t>
  </si>
  <si>
    <t>64.87M</t>
  </si>
  <si>
    <t>86.46M</t>
  </si>
  <si>
    <t>65.91M</t>
  </si>
  <si>
    <t>75.50M</t>
  </si>
  <si>
    <t>80.66M</t>
  </si>
  <si>
    <t>61.27M</t>
  </si>
  <si>
    <t>72.50M</t>
  </si>
  <si>
    <t>57.00M</t>
  </si>
  <si>
    <t>69.50M</t>
  </si>
  <si>
    <t>96.61M</t>
  </si>
  <si>
    <t>147.16M</t>
  </si>
  <si>
    <t>94.26M</t>
  </si>
  <si>
    <t>81.01M</t>
  </si>
  <si>
    <t>126.97M</t>
  </si>
  <si>
    <t>95.71M</t>
  </si>
  <si>
    <t>201.19M</t>
  </si>
  <si>
    <t>135.96M</t>
  </si>
  <si>
    <t>103.09M</t>
  </si>
  <si>
    <t>90.68M</t>
  </si>
  <si>
    <t>109.46M</t>
  </si>
  <si>
    <t>79.71M</t>
  </si>
  <si>
    <t>111.08M</t>
  </si>
  <si>
    <t>103.93M</t>
  </si>
  <si>
    <t>103.19M</t>
  </si>
  <si>
    <t>112.91M</t>
  </si>
  <si>
    <t>91.19M</t>
  </si>
  <si>
    <t>83.83M</t>
  </si>
  <si>
    <t>83.99M</t>
  </si>
  <si>
    <t>122.00M</t>
  </si>
  <si>
    <t>118.46M</t>
  </si>
  <si>
    <t>122.84M</t>
  </si>
  <si>
    <t>95.13M</t>
  </si>
  <si>
    <t>124.45M</t>
  </si>
  <si>
    <t>187.24M</t>
  </si>
  <si>
    <t>135.35M</t>
  </si>
  <si>
    <t>169.08M</t>
  </si>
  <si>
    <t>147.32M</t>
  </si>
  <si>
    <t>93.88M</t>
  </si>
  <si>
    <t>96.56M</t>
  </si>
  <si>
    <t>78.98M</t>
  </si>
  <si>
    <t>108.09M</t>
  </si>
  <si>
    <t>91.09M</t>
  </si>
  <si>
    <t>82.82M</t>
  </si>
  <si>
    <t>82.14M</t>
  </si>
  <si>
    <t>78.02M</t>
  </si>
  <si>
    <t>112.16M</t>
  </si>
  <si>
    <t>116.75M</t>
  </si>
  <si>
    <t>105.55M</t>
  </si>
  <si>
    <t>89.80M</t>
  </si>
  <si>
    <t>93.24M</t>
  </si>
  <si>
    <t>99.35M</t>
  </si>
  <si>
    <t>113.99M</t>
  </si>
  <si>
    <t>100.93M</t>
  </si>
  <si>
    <t>116.53M</t>
  </si>
  <si>
    <t>109.35M</t>
  </si>
  <si>
    <t>136.84M</t>
  </si>
  <si>
    <t>105.38M</t>
  </si>
  <si>
    <t>117.34M</t>
  </si>
  <si>
    <t>116.05M</t>
  </si>
  <si>
    <t>116.80M</t>
  </si>
  <si>
    <t>114.57M</t>
  </si>
  <si>
    <t>125.98M</t>
  </si>
  <si>
    <t>99.68M</t>
  </si>
  <si>
    <t>94.85M</t>
  </si>
  <si>
    <t>132.63M</t>
  </si>
  <si>
    <t>184.48M</t>
  </si>
  <si>
    <t>129.06M</t>
  </si>
  <si>
    <t>243.09M</t>
  </si>
  <si>
    <t>147.49M</t>
  </si>
  <si>
    <t>84.23M</t>
  </si>
  <si>
    <t>65.53M</t>
  </si>
  <si>
    <t>60.03M</t>
  </si>
  <si>
    <t>75.32M</t>
  </si>
  <si>
    <t>94.31M</t>
  </si>
  <si>
    <t>99.94M</t>
  </si>
  <si>
    <t>143.80M</t>
  </si>
  <si>
    <t>128.22M</t>
  </si>
  <si>
    <t>90.79M</t>
  </si>
  <si>
    <t>230.81M</t>
  </si>
  <si>
    <t>126.59M</t>
  </si>
  <si>
    <t>79.00M</t>
  </si>
  <si>
    <t>46.07M</t>
  </si>
  <si>
    <t>65.92M</t>
  </si>
  <si>
    <t>76.09M</t>
  </si>
  <si>
    <t>77.93M</t>
  </si>
  <si>
    <t>55.94M</t>
  </si>
  <si>
    <t>66.88M</t>
  </si>
  <si>
    <t>56.23M</t>
  </si>
  <si>
    <t>54.75M</t>
  </si>
  <si>
    <t>62.91M</t>
  </si>
  <si>
    <t>56.03M</t>
  </si>
  <si>
    <t>56.81M</t>
  </si>
  <si>
    <t>69.05M</t>
  </si>
  <si>
    <t>78.15M</t>
  </si>
  <si>
    <t>91.35M</t>
  </si>
  <si>
    <t>91.73M</t>
  </si>
  <si>
    <t>105.62M</t>
  </si>
  <si>
    <t>62.42M</t>
  </si>
  <si>
    <t>72.22M</t>
  </si>
  <si>
    <t>log_return</t>
  </si>
  <si>
    <t>log_return_percentage</t>
  </si>
  <si>
    <t>Value</t>
  </si>
  <si>
    <t>Statistic</t>
  </si>
  <si>
    <t>count</t>
  </si>
  <si>
    <t>mean</t>
  </si>
  <si>
    <t>std</t>
  </si>
  <si>
    <t>min</t>
  </si>
  <si>
    <t>max</t>
  </si>
  <si>
    <t>skewness</t>
  </si>
  <si>
    <t>excess_kurtosis</t>
  </si>
  <si>
    <t>annualized_return</t>
  </si>
  <si>
    <t>113.55M</t>
  </si>
  <si>
    <t>72.05M</t>
  </si>
  <si>
    <t>80.69M</t>
  </si>
  <si>
    <t>102.21M</t>
  </si>
  <si>
    <t>105.51M</t>
  </si>
  <si>
    <t>118.95M</t>
  </si>
  <si>
    <t>58.51M</t>
  </si>
  <si>
    <t>60.53M</t>
  </si>
  <si>
    <t>76.52M</t>
  </si>
  <si>
    <t>103.47M</t>
  </si>
  <si>
    <t>109.62M</t>
  </si>
  <si>
    <t>85.57M</t>
  </si>
  <si>
    <t>84.60M</t>
  </si>
  <si>
    <t>83.14M</t>
  </si>
  <si>
    <t>72.45M</t>
  </si>
  <si>
    <t>67.98M</t>
  </si>
  <si>
    <t>80.19M</t>
  </si>
  <si>
    <t>105.87M</t>
  </si>
  <si>
    <t>94.73M</t>
  </si>
  <si>
    <t>126.71M</t>
  </si>
  <si>
    <t>84.02M</t>
  </si>
  <si>
    <t>54.41M</t>
  </si>
  <si>
    <t>63.72M</t>
  </si>
  <si>
    <t>89.33M</t>
  </si>
  <si>
    <t>77.19M</t>
  </si>
  <si>
    <t>71.56M</t>
  </si>
  <si>
    <t>72.67M</t>
  </si>
  <si>
    <t>79.55M</t>
  </si>
  <si>
    <t>112.11M</t>
  </si>
  <si>
    <t>69.34M</t>
  </si>
  <si>
    <t>71.19M</t>
  </si>
  <si>
    <t>102.30M</t>
  </si>
  <si>
    <t>85.32M</t>
  </si>
  <si>
    <t>133.19M</t>
  </si>
  <si>
    <t>137.01M</t>
  </si>
  <si>
    <t>98.12M</t>
  </si>
  <si>
    <t>74.36M</t>
  </si>
  <si>
    <t>79.49M</t>
  </si>
  <si>
    <t>101.63M</t>
  </si>
  <si>
    <t>96.75M</t>
  </si>
  <si>
    <t>93.13M</t>
  </si>
  <si>
    <t>83.42M</t>
  </si>
  <si>
    <t>97.11M</t>
  </si>
  <si>
    <t>90.45M</t>
  </si>
  <si>
    <t>106.13M</t>
  </si>
  <si>
    <t>104.29M</t>
  </si>
  <si>
    <t>163.82M</t>
  </si>
  <si>
    <t>168.16M</t>
  </si>
  <si>
    <t>103.76M</t>
  </si>
  <si>
    <t>72.12M</t>
  </si>
  <si>
    <t>53.82M</t>
  </si>
  <si>
    <t>75.21M</t>
  </si>
  <si>
    <t>108.99M</t>
  </si>
  <si>
    <t>60.71M</t>
  </si>
  <si>
    <t>88.73M</t>
  </si>
  <si>
    <t>58.39M</t>
  </si>
  <si>
    <t>81.15M</t>
  </si>
  <si>
    <t>67.90M</t>
  </si>
  <si>
    <t>65.52M</t>
  </si>
  <si>
    <t>76.65M</t>
  </si>
  <si>
    <t>86.67M</t>
  </si>
  <si>
    <t>94.02M</t>
  </si>
  <si>
    <t>55.74M</t>
  </si>
  <si>
    <t>77.48M</t>
  </si>
  <si>
    <t>75.96M</t>
  </si>
  <si>
    <t>56.96M</t>
  </si>
  <si>
    <t>74.32M</t>
  </si>
  <si>
    <t>75.00M</t>
  </si>
  <si>
    <t>67.84M</t>
  </si>
  <si>
    <t>105.32M</t>
  </si>
  <si>
    <t>91.20M</t>
  </si>
  <si>
    <t>66.66M</t>
  </si>
  <si>
    <t>78.52M</t>
  </si>
  <si>
    <t>57.96M</t>
  </si>
  <si>
    <t>78.68M</t>
  </si>
  <si>
    <t>89.12M</t>
  </si>
  <si>
    <t>85.27M</t>
  </si>
  <si>
    <t>83.93M</t>
  </si>
  <si>
    <t>87.36M</t>
  </si>
  <si>
    <t>112.67M</t>
  </si>
  <si>
    <t>148.23M</t>
  </si>
  <si>
    <t>156.97M</t>
  </si>
  <si>
    <t>92.55M</t>
  </si>
  <si>
    <t>77.37M</t>
  </si>
  <si>
    <t>75.77M</t>
  </si>
  <si>
    <t>94.25M</t>
  </si>
  <si>
    <t>73.92M</t>
  </si>
  <si>
    <t>97.28M</t>
  </si>
  <si>
    <t>77.56M</t>
  </si>
  <si>
    <t>78.04M</t>
  </si>
  <si>
    <t>79.24M</t>
  </si>
  <si>
    <t>104.37M</t>
  </si>
  <si>
    <t>75.59M</t>
  </si>
  <si>
    <t>103.25M</t>
  </si>
  <si>
    <t>131.18M</t>
  </si>
  <si>
    <t>58.04M</t>
  </si>
  <si>
    <t>119.48M</t>
  </si>
  <si>
    <t>145.09M</t>
  </si>
  <si>
    <t>76.70M</t>
  </si>
  <si>
    <t>89.07M</t>
  </si>
  <si>
    <t>80.44M</t>
  </si>
  <si>
    <t>119.85M</t>
  </si>
  <si>
    <t>114.74M</t>
  </si>
  <si>
    <t>190.72M</t>
  </si>
  <si>
    <t>108.69M</t>
  </si>
  <si>
    <t>95.14M</t>
  </si>
  <si>
    <t>88.28M</t>
  </si>
  <si>
    <t>128.96M</t>
  </si>
  <si>
    <t>105.13M</t>
  </si>
  <si>
    <t>122.61M</t>
  </si>
  <si>
    <t>151.26M</t>
  </si>
  <si>
    <t>140.91M</t>
  </si>
  <si>
    <t>164.75M</t>
  </si>
  <si>
    <t>292.82M</t>
  </si>
  <si>
    <t>98.91M</t>
  </si>
  <si>
    <t>99.32M</t>
  </si>
  <si>
    <t>81.87M</t>
  </si>
  <si>
    <t>123.47M</t>
  </si>
  <si>
    <t>88.55M</t>
  </si>
  <si>
    <t>91.40M</t>
  </si>
  <si>
    <t>120.15M</t>
  </si>
  <si>
    <t>84.65M</t>
  </si>
  <si>
    <t>102.35M</t>
  </si>
  <si>
    <t>131.72M</t>
  </si>
  <si>
    <t>88.87M</t>
  </si>
  <si>
    <t>95.90M</t>
  </si>
  <si>
    <t>97.88M</t>
  </si>
  <si>
    <t>137.00M</t>
  </si>
  <si>
    <t>136.99M</t>
  </si>
  <si>
    <t>112.83M</t>
  </si>
  <si>
    <t>132.39M</t>
  </si>
  <si>
    <t>97.54M</t>
  </si>
  <si>
    <t>71.88M</t>
  </si>
  <si>
    <t>76.72M</t>
  </si>
  <si>
    <t>94.62M</t>
  </si>
  <si>
    <t>114.45M</t>
  </si>
  <si>
    <t>99.66M</t>
  </si>
  <si>
    <t>108.91M</t>
  </si>
  <si>
    <t>151.73M</t>
  </si>
  <si>
    <t>167.56M</t>
  </si>
  <si>
    <t>94.46M</t>
  </si>
  <si>
    <t>150.38M</t>
  </si>
  <si>
    <t>120.86M</t>
  </si>
  <si>
    <t>97.77M</t>
  </si>
  <si>
    <t>83.40M</t>
  </si>
  <si>
    <t>112.38M</t>
  </si>
  <si>
    <t>79.59M</t>
  </si>
  <si>
    <t>100.14M</t>
  </si>
  <si>
    <t>128.95M</t>
  </si>
  <si>
    <t>181.72M</t>
  </si>
  <si>
    <t>219.43M</t>
  </si>
  <si>
    <t>171.60M</t>
  </si>
  <si>
    <t>183.45M</t>
  </si>
  <si>
    <t>181.23M</t>
  </si>
  <si>
    <t>136.17M</t>
  </si>
  <si>
    <t>212.79M</t>
  </si>
  <si>
    <t>146.49M</t>
  </si>
  <si>
    <t>134.01M</t>
  </si>
  <si>
    <t>123.81M</t>
  </si>
  <si>
    <t>162.57M</t>
  </si>
  <si>
    <t>156.25M</t>
  </si>
  <si>
    <t>150.36M</t>
  </si>
  <si>
    <t>132.73M</t>
  </si>
  <si>
    <t>99.03M</t>
  </si>
  <si>
    <t>111.99M</t>
  </si>
  <si>
    <t>111.48M</t>
  </si>
  <si>
    <t>111.90M</t>
  </si>
  <si>
    <t>100.24M</t>
  </si>
  <si>
    <t>114.81M</t>
  </si>
  <si>
    <t>142.22M</t>
  </si>
  <si>
    <t>174.90M</t>
  </si>
  <si>
    <t>189.08M</t>
  </si>
  <si>
    <t>102.37M</t>
  </si>
  <si>
    <t>98.45M</t>
  </si>
  <si>
    <t>94.04M</t>
  </si>
  <si>
    <t>115.55M</t>
  </si>
  <si>
    <t>115.70M</t>
  </si>
  <si>
    <t>101.75M</t>
  </si>
  <si>
    <t>100.12M</t>
  </si>
  <si>
    <t>134.23M</t>
  </si>
  <si>
    <t>76.05M</t>
  </si>
  <si>
    <t>74.06M</t>
  </si>
  <si>
    <t>45.97M</t>
  </si>
  <si>
    <t>67.09M</t>
  </si>
  <si>
    <t>51.63M</t>
  </si>
  <si>
    <t>68.28M</t>
  </si>
  <si>
    <t>89.44M</t>
  </si>
  <si>
    <t>118.54M</t>
  </si>
  <si>
    <t>77.51M</t>
  </si>
  <si>
    <t>70.30M</t>
  </si>
  <si>
    <t>77.92M</t>
  </si>
  <si>
    <t>57.61M</t>
  </si>
  <si>
    <t>57.07M</t>
  </si>
  <si>
    <t>93.73M</t>
  </si>
  <si>
    <t>83.57M</t>
  </si>
  <si>
    <t>98.09M</t>
  </si>
  <si>
    <t>68.03M</t>
  </si>
  <si>
    <t>48.91M</t>
  </si>
  <si>
    <t>58.13M</t>
  </si>
  <si>
    <t>56.43M</t>
  </si>
  <si>
    <t>50.69M</t>
  </si>
  <si>
    <t>60.96M</t>
  </si>
  <si>
    <t>87.32M</t>
  </si>
  <si>
    <t>94.99M</t>
  </si>
  <si>
    <t>68.34M</t>
  </si>
  <si>
    <t>81.38M</t>
  </si>
  <si>
    <t>84.57M</t>
  </si>
  <si>
    <t>67.58M</t>
  </si>
  <si>
    <t>62.29M</t>
  </si>
  <si>
    <t>73.04M</t>
  </si>
  <si>
    <t>75.70M</t>
  </si>
  <si>
    <t>85.52M</t>
  </si>
  <si>
    <t>95.42M</t>
  </si>
  <si>
    <t>109.71M</t>
  </si>
  <si>
    <t>standard dev</t>
  </si>
  <si>
    <t>minimum</t>
  </si>
  <si>
    <t>25%</t>
  </si>
  <si>
    <t>50%</t>
  </si>
  <si>
    <t>75%</t>
  </si>
  <si>
    <t>maximum</t>
  </si>
  <si>
    <t>kurtosis</t>
  </si>
  <si>
    <t>annualized return</t>
  </si>
  <si>
    <t>z-score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</si>
</sst>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0%"/>
    <numFmt numFmtId="166" formatCode="0.000"/>
    <numFmt numFmtId="168" formatCode="0.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2" fillId="0" borderId="0"/>
  </cellStyleXfs>
  <cellXfs count="24">
    <xf numFmtId="0" fontId="0" fillId="0" borderId="0" xfId="0"/>
    <xf numFmtId="14" fontId="0" fillId="0" borderId="1" xfId="0" applyNumberFormat="1" applyBorder="1"/>
    <xf numFmtId="0" fontId="0" fillId="0" borderId="1" xfId="0" applyBorder="1"/>
    <xf numFmtId="10" fontId="0" fillId="0" borderId="1" xfId="0" applyNumberFormat="1" applyBorder="1"/>
    <xf numFmtId="0" fontId="1" fillId="2" borderId="1" xfId="0" applyFont="1" applyFill="1" applyBorder="1"/>
    <xf numFmtId="0" fontId="3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0" fontId="1" fillId="0" borderId="2" xfId="0" applyFont="1" applyBorder="1"/>
    <xf numFmtId="9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wrapText="1"/>
    </xf>
    <xf numFmtId="165" fontId="2" fillId="0" borderId="2" xfId="1" applyNumberFormat="1" applyBorder="1"/>
    <xf numFmtId="0" fontId="1" fillId="3" borderId="2" xfId="0" applyFont="1" applyFill="1" applyBorder="1"/>
    <xf numFmtId="166" fontId="0" fillId="0" borderId="2" xfId="0" applyNumberFormat="1" applyBorder="1"/>
    <xf numFmtId="0" fontId="1" fillId="2" borderId="2" xfId="0" applyFont="1" applyFill="1" applyBorder="1"/>
    <xf numFmtId="14" fontId="0" fillId="0" borderId="2" xfId="0" applyNumberFormat="1" applyBorder="1"/>
    <xf numFmtId="10" fontId="0" fillId="0" borderId="2" xfId="0" applyNumberFormat="1" applyBorder="1"/>
    <xf numFmtId="164" fontId="0" fillId="0" borderId="3" xfId="0" applyNumberFormat="1" applyBorder="1"/>
    <xf numFmtId="0" fontId="0" fillId="0" borderId="3" xfId="0" applyBorder="1"/>
    <xf numFmtId="168" fontId="0" fillId="0" borderId="3" xfId="0" applyNumberFormat="1" applyBorder="1"/>
    <xf numFmtId="166" fontId="0" fillId="0" borderId="3" xfId="0" applyNumberFormat="1" applyBorder="1"/>
    <xf numFmtId="165" fontId="2" fillId="0" borderId="4" xfId="1" applyNumberFormat="1" applyBorder="1"/>
    <xf numFmtId="0" fontId="1" fillId="0" borderId="3" xfId="0" applyFont="1" applyBorder="1"/>
    <xf numFmtId="0" fontId="4" fillId="3" borderId="5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4"/>
  <sheetViews>
    <sheetView workbookViewId="0">
      <selection activeCell="F11" sqref="F11"/>
    </sheetView>
  </sheetViews>
  <sheetFormatPr defaultRowHeight="14.5" x14ac:dyDescent="0.35"/>
  <cols>
    <col min="1" max="1" width="11.453125" customWidth="1"/>
  </cols>
  <sheetData>
    <row r="1" spans="1:7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 s="1">
        <v>45981</v>
      </c>
      <c r="B2" s="2">
        <v>155.75</v>
      </c>
      <c r="C2" s="2">
        <v>172.07</v>
      </c>
      <c r="D2" s="2">
        <v>174.57</v>
      </c>
      <c r="E2" s="2">
        <v>154.4</v>
      </c>
      <c r="F2" s="2" t="s">
        <v>7</v>
      </c>
      <c r="G2" s="3">
        <v>-5.8500000000000003E-2</v>
      </c>
    </row>
    <row r="3" spans="1:7" x14ac:dyDescent="0.35">
      <c r="A3" s="1">
        <v>45980</v>
      </c>
      <c r="B3" s="2">
        <v>165.42</v>
      </c>
      <c r="C3" s="2">
        <v>167.8</v>
      </c>
      <c r="D3" s="2">
        <v>169.6</v>
      </c>
      <c r="E3" s="2">
        <v>162.41999999999999</v>
      </c>
      <c r="F3" s="2" t="s">
        <v>8</v>
      </c>
      <c r="G3" s="3">
        <v>-1.14E-2</v>
      </c>
    </row>
    <row r="4" spans="1:7" x14ac:dyDescent="0.35">
      <c r="A4" s="1">
        <v>45979</v>
      </c>
      <c r="B4" s="2">
        <v>167.33</v>
      </c>
      <c r="C4" s="2">
        <v>168.37</v>
      </c>
      <c r="D4" s="2">
        <v>172.83</v>
      </c>
      <c r="E4" s="2">
        <v>165.5</v>
      </c>
      <c r="F4" s="2" t="s">
        <v>9</v>
      </c>
      <c r="G4" s="3">
        <v>-2.29E-2</v>
      </c>
    </row>
    <row r="5" spans="1:7" x14ac:dyDescent="0.35">
      <c r="A5" s="1">
        <v>45978</v>
      </c>
      <c r="B5" s="2">
        <v>171.25</v>
      </c>
      <c r="C5" s="2">
        <v>170.53</v>
      </c>
      <c r="D5" s="2">
        <v>174.24</v>
      </c>
      <c r="E5" s="2">
        <v>167.68</v>
      </c>
      <c r="F5" s="2" t="s">
        <v>10</v>
      </c>
      <c r="G5" s="3">
        <v>-1.5900000000000001E-2</v>
      </c>
    </row>
    <row r="6" spans="1:7" x14ac:dyDescent="0.35">
      <c r="A6" s="1">
        <v>45975</v>
      </c>
      <c r="B6" s="2">
        <v>174.01</v>
      </c>
      <c r="C6" s="2">
        <v>166.98</v>
      </c>
      <c r="D6" s="2">
        <v>177.29</v>
      </c>
      <c r="E6" s="2">
        <v>164.5</v>
      </c>
      <c r="F6" s="2" t="s">
        <v>11</v>
      </c>
      <c r="G6" s="3">
        <v>1.09E-2</v>
      </c>
    </row>
    <row r="7" spans="1:7" x14ac:dyDescent="0.35">
      <c r="A7" s="1">
        <v>45974</v>
      </c>
      <c r="B7" s="2">
        <v>172.14</v>
      </c>
      <c r="C7" s="2">
        <v>181.71</v>
      </c>
      <c r="D7" s="2">
        <v>182.7</v>
      </c>
      <c r="E7" s="2">
        <v>170.73</v>
      </c>
      <c r="F7" s="2" t="s">
        <v>12</v>
      </c>
      <c r="G7" s="3">
        <v>-6.5299999999999997E-2</v>
      </c>
    </row>
    <row r="8" spans="1:7" x14ac:dyDescent="0.35">
      <c r="A8" s="1">
        <v>45973</v>
      </c>
      <c r="B8" s="2">
        <v>184.17</v>
      </c>
      <c r="C8" s="2">
        <v>190.58</v>
      </c>
      <c r="D8" s="2">
        <v>190.58</v>
      </c>
      <c r="E8" s="2">
        <v>180.4</v>
      </c>
      <c r="F8" s="2" t="s">
        <v>13</v>
      </c>
      <c r="G8" s="3">
        <v>-3.56E-2</v>
      </c>
    </row>
    <row r="9" spans="1:7" x14ac:dyDescent="0.35">
      <c r="A9" s="1">
        <v>45972</v>
      </c>
      <c r="B9" s="2">
        <v>190.96</v>
      </c>
      <c r="C9" s="2">
        <v>190.34</v>
      </c>
      <c r="D9" s="2">
        <v>192.93</v>
      </c>
      <c r="E9" s="2">
        <v>187.13</v>
      </c>
      <c r="F9" s="2" t="s">
        <v>14</v>
      </c>
      <c r="G9" s="3">
        <v>-1.37E-2</v>
      </c>
    </row>
    <row r="10" spans="1:7" x14ac:dyDescent="0.35">
      <c r="A10" s="1">
        <v>45971</v>
      </c>
      <c r="B10" s="2">
        <v>193.61</v>
      </c>
      <c r="C10" s="2">
        <v>184.31</v>
      </c>
      <c r="D10" s="2">
        <v>194.93</v>
      </c>
      <c r="E10" s="2">
        <v>183.52</v>
      </c>
      <c r="F10" s="2" t="s">
        <v>15</v>
      </c>
      <c r="G10" s="3">
        <v>8.8099999999999998E-2</v>
      </c>
    </row>
    <row r="11" spans="1:7" x14ac:dyDescent="0.35">
      <c r="A11" s="1">
        <v>45968</v>
      </c>
      <c r="B11" s="2">
        <v>177.93</v>
      </c>
      <c r="C11" s="2">
        <v>173.15</v>
      </c>
      <c r="D11" s="2">
        <v>178.7</v>
      </c>
      <c r="E11" s="2">
        <v>168.91</v>
      </c>
      <c r="F11" s="2" t="s">
        <v>16</v>
      </c>
      <c r="G11" s="3">
        <v>1.6500000000000001E-2</v>
      </c>
    </row>
    <row r="12" spans="1:7" x14ac:dyDescent="0.35">
      <c r="A12" s="1">
        <v>45967</v>
      </c>
      <c r="B12" s="2">
        <v>175.05</v>
      </c>
      <c r="C12" s="2">
        <v>187.99</v>
      </c>
      <c r="D12" s="2">
        <v>191.09</v>
      </c>
      <c r="E12" s="2">
        <v>174.53</v>
      </c>
      <c r="F12" s="2" t="s">
        <v>17</v>
      </c>
      <c r="G12" s="3">
        <v>-6.8400000000000002E-2</v>
      </c>
    </row>
    <row r="13" spans="1:7" x14ac:dyDescent="0.35">
      <c r="A13" s="1">
        <v>45966</v>
      </c>
      <c r="B13" s="2">
        <v>187.9</v>
      </c>
      <c r="C13" s="2">
        <v>189</v>
      </c>
      <c r="D13" s="2">
        <v>190.32</v>
      </c>
      <c r="E13" s="2">
        <v>181.21</v>
      </c>
      <c r="F13" s="2" t="s">
        <v>18</v>
      </c>
      <c r="G13" s="3">
        <v>-1.49E-2</v>
      </c>
    </row>
    <row r="14" spans="1:7" x14ac:dyDescent="0.35">
      <c r="A14" s="1">
        <v>45965</v>
      </c>
      <c r="B14" s="2">
        <v>190.74</v>
      </c>
      <c r="C14" s="2">
        <v>192.07</v>
      </c>
      <c r="D14" s="2">
        <v>195.7</v>
      </c>
      <c r="E14" s="2">
        <v>185.56</v>
      </c>
      <c r="F14" s="2" t="s">
        <v>19</v>
      </c>
      <c r="G14" s="3">
        <v>-7.9399999999999998E-2</v>
      </c>
    </row>
    <row r="15" spans="1:7" x14ac:dyDescent="0.35">
      <c r="A15" s="1">
        <v>45964</v>
      </c>
      <c r="B15" s="2">
        <v>207.18</v>
      </c>
      <c r="C15" s="2">
        <v>205.04</v>
      </c>
      <c r="D15" s="2">
        <v>207.52</v>
      </c>
      <c r="E15" s="2">
        <v>201.82</v>
      </c>
      <c r="F15" s="2" t="s">
        <v>20</v>
      </c>
      <c r="G15" s="3">
        <v>3.3500000000000002E-2</v>
      </c>
    </row>
    <row r="16" spans="1:7" x14ac:dyDescent="0.35">
      <c r="A16" s="1">
        <v>45961</v>
      </c>
      <c r="B16" s="2">
        <v>200.47</v>
      </c>
      <c r="C16" s="2">
        <v>199.2</v>
      </c>
      <c r="D16" s="2">
        <v>204.18</v>
      </c>
      <c r="E16" s="2">
        <v>197.92</v>
      </c>
      <c r="F16" s="2" t="s">
        <v>21</v>
      </c>
      <c r="G16" s="3">
        <v>3.04E-2</v>
      </c>
    </row>
    <row r="17" spans="1:7" x14ac:dyDescent="0.35">
      <c r="A17" s="1">
        <v>45960</v>
      </c>
      <c r="B17" s="2">
        <v>194.55</v>
      </c>
      <c r="C17" s="2">
        <v>198.43</v>
      </c>
      <c r="D17" s="2">
        <v>199.67</v>
      </c>
      <c r="E17" s="2">
        <v>194.12</v>
      </c>
      <c r="F17" s="2" t="s">
        <v>22</v>
      </c>
      <c r="G17" s="3">
        <v>-2.1399999999999999E-2</v>
      </c>
    </row>
    <row r="18" spans="1:7" x14ac:dyDescent="0.35">
      <c r="A18" s="1">
        <v>45959</v>
      </c>
      <c r="B18" s="2">
        <v>198.81</v>
      </c>
      <c r="C18" s="2">
        <v>191.08</v>
      </c>
      <c r="D18" s="2">
        <v>199.85</v>
      </c>
      <c r="E18" s="2">
        <v>190.49</v>
      </c>
      <c r="F18" s="2" t="s">
        <v>23</v>
      </c>
      <c r="G18" s="3">
        <v>4.8599999999999997E-2</v>
      </c>
    </row>
    <row r="19" spans="1:7" x14ac:dyDescent="0.35">
      <c r="A19" s="1">
        <v>45958</v>
      </c>
      <c r="B19" s="2">
        <v>189.6</v>
      </c>
      <c r="C19" s="2">
        <v>189.48</v>
      </c>
      <c r="D19" s="2">
        <v>191.78</v>
      </c>
      <c r="E19" s="2">
        <v>186.78</v>
      </c>
      <c r="F19" s="2" t="s">
        <v>24</v>
      </c>
      <c r="G19" s="3">
        <v>2.2000000000000001E-3</v>
      </c>
    </row>
    <row r="20" spans="1:7" x14ac:dyDescent="0.35">
      <c r="A20" s="1">
        <v>45957</v>
      </c>
      <c r="B20" s="2">
        <v>189.18</v>
      </c>
      <c r="C20" s="2">
        <v>188.97</v>
      </c>
      <c r="D20" s="2">
        <v>192.83</v>
      </c>
      <c r="E20" s="2">
        <v>187.52</v>
      </c>
      <c r="F20" s="2" t="s">
        <v>25</v>
      </c>
      <c r="G20" s="3">
        <v>2.46E-2</v>
      </c>
    </row>
    <row r="21" spans="1:7" x14ac:dyDescent="0.35">
      <c r="A21" s="1">
        <v>45954</v>
      </c>
      <c r="B21" s="2">
        <v>184.63</v>
      </c>
      <c r="C21" s="2">
        <v>182.88</v>
      </c>
      <c r="D21" s="2">
        <v>186.17</v>
      </c>
      <c r="E21" s="2">
        <v>182.85</v>
      </c>
      <c r="F21" s="2" t="s">
        <v>26</v>
      </c>
      <c r="G21" s="3">
        <v>2.3E-2</v>
      </c>
    </row>
    <row r="22" spans="1:7" x14ac:dyDescent="0.35">
      <c r="A22" s="1">
        <v>45953</v>
      </c>
      <c r="B22" s="2">
        <v>180.48</v>
      </c>
      <c r="C22" s="2">
        <v>175.45</v>
      </c>
      <c r="D22" s="2">
        <v>181.56</v>
      </c>
      <c r="E22" s="2">
        <v>175.01</v>
      </c>
      <c r="F22" s="2" t="s">
        <v>27</v>
      </c>
      <c r="G22" s="3">
        <v>2.8400000000000002E-2</v>
      </c>
    </row>
    <row r="23" spans="1:7" x14ac:dyDescent="0.35">
      <c r="A23" s="1">
        <v>45952</v>
      </c>
      <c r="B23" s="2">
        <v>175.49</v>
      </c>
      <c r="C23" s="2">
        <v>181.93</v>
      </c>
      <c r="D23" s="2">
        <v>182.21</v>
      </c>
      <c r="E23" s="2">
        <v>169.42</v>
      </c>
      <c r="F23" s="2" t="s">
        <v>28</v>
      </c>
      <c r="G23" s="3">
        <v>-3.32E-2</v>
      </c>
    </row>
    <row r="24" spans="1:7" x14ac:dyDescent="0.35">
      <c r="A24" s="1">
        <v>45951</v>
      </c>
      <c r="B24" s="2">
        <v>181.51</v>
      </c>
      <c r="C24" s="2">
        <v>182.06</v>
      </c>
      <c r="D24" s="2">
        <v>182.39</v>
      </c>
      <c r="E24" s="2">
        <v>178.65</v>
      </c>
      <c r="F24" s="2" t="s">
        <v>29</v>
      </c>
      <c r="G24" s="3">
        <v>-4.0000000000000002E-4</v>
      </c>
    </row>
    <row r="25" spans="1:7" x14ac:dyDescent="0.35">
      <c r="A25" s="1">
        <v>45950</v>
      </c>
      <c r="B25" s="2">
        <v>181.59</v>
      </c>
      <c r="C25" s="2">
        <v>179.49</v>
      </c>
      <c r="D25" s="2">
        <v>183.09</v>
      </c>
      <c r="E25" s="2">
        <v>177.44</v>
      </c>
      <c r="F25" s="2" t="s">
        <v>30</v>
      </c>
      <c r="G25" s="3">
        <v>1.9300000000000001E-2</v>
      </c>
    </row>
    <row r="26" spans="1:7" x14ac:dyDescent="0.35">
      <c r="A26" s="1">
        <v>45947</v>
      </c>
      <c r="B26" s="2">
        <v>178.15</v>
      </c>
      <c r="C26" s="2">
        <v>177.75</v>
      </c>
      <c r="D26" s="2">
        <v>181.59</v>
      </c>
      <c r="E26" s="2">
        <v>173.95</v>
      </c>
      <c r="F26" s="2" t="s">
        <v>31</v>
      </c>
      <c r="G26" s="3">
        <v>2.0000000000000001E-4</v>
      </c>
    </row>
    <row r="27" spans="1:7" x14ac:dyDescent="0.35">
      <c r="A27" s="1">
        <v>45946</v>
      </c>
      <c r="B27" s="2">
        <v>178.12</v>
      </c>
      <c r="C27" s="2">
        <v>181.78</v>
      </c>
      <c r="D27" s="2">
        <v>184.82</v>
      </c>
      <c r="E27" s="2">
        <v>176.45</v>
      </c>
      <c r="F27" s="2" t="s">
        <v>32</v>
      </c>
      <c r="G27" s="3">
        <v>-8.3999999999999995E-3</v>
      </c>
    </row>
    <row r="28" spans="1:7" x14ac:dyDescent="0.35">
      <c r="A28" s="1">
        <v>45945</v>
      </c>
      <c r="B28" s="2">
        <v>179.62</v>
      </c>
      <c r="C28" s="2">
        <v>181.65</v>
      </c>
      <c r="D28" s="2">
        <v>184.35</v>
      </c>
      <c r="E28" s="2">
        <v>176.02</v>
      </c>
      <c r="F28" s="2" t="s">
        <v>33</v>
      </c>
      <c r="G28" s="3">
        <v>-6.9999999999999999E-4</v>
      </c>
    </row>
    <row r="29" spans="1:7" x14ac:dyDescent="0.35">
      <c r="A29" s="1">
        <v>45944</v>
      </c>
      <c r="B29" s="2">
        <v>179.74</v>
      </c>
      <c r="C29" s="2">
        <v>176</v>
      </c>
      <c r="D29" s="2">
        <v>182.34</v>
      </c>
      <c r="E29" s="2">
        <v>170.82</v>
      </c>
      <c r="F29" s="2" t="s">
        <v>34</v>
      </c>
      <c r="G29" s="3">
        <v>1.43E-2</v>
      </c>
    </row>
    <row r="30" spans="1:7" x14ac:dyDescent="0.35">
      <c r="A30" s="1">
        <v>45943</v>
      </c>
      <c r="B30" s="2">
        <v>177.21</v>
      </c>
      <c r="C30" s="2">
        <v>178.68</v>
      </c>
      <c r="D30" s="2">
        <v>179.22</v>
      </c>
      <c r="E30" s="2">
        <v>173.45</v>
      </c>
      <c r="F30" s="2" t="s">
        <v>35</v>
      </c>
      <c r="G30" s="3">
        <v>1.01E-2</v>
      </c>
    </row>
    <row r="31" spans="1:7" x14ac:dyDescent="0.35">
      <c r="A31" s="1">
        <v>45940</v>
      </c>
      <c r="B31" s="2">
        <v>175.44</v>
      </c>
      <c r="C31" s="2">
        <v>185.17</v>
      </c>
      <c r="D31" s="2">
        <v>187.1</v>
      </c>
      <c r="E31" s="2">
        <v>173.53</v>
      </c>
      <c r="F31" s="2" t="s">
        <v>36</v>
      </c>
      <c r="G31" s="3">
        <v>-5.4100000000000002E-2</v>
      </c>
    </row>
    <row r="32" spans="1:7" x14ac:dyDescent="0.35">
      <c r="A32" s="1">
        <v>45939</v>
      </c>
      <c r="B32" s="2">
        <v>185.47</v>
      </c>
      <c r="C32" s="2">
        <v>183.58</v>
      </c>
      <c r="D32" s="2">
        <v>187.62</v>
      </c>
      <c r="E32" s="2">
        <v>179.95</v>
      </c>
      <c r="F32" s="2" t="s">
        <v>37</v>
      </c>
      <c r="G32" s="3">
        <v>1.04E-2</v>
      </c>
    </row>
    <row r="33" spans="1:7" x14ac:dyDescent="0.35">
      <c r="A33" s="1">
        <v>45938</v>
      </c>
      <c r="B33" s="2">
        <v>183.56</v>
      </c>
      <c r="C33" s="2">
        <v>182.8</v>
      </c>
      <c r="D33" s="2">
        <v>184.26</v>
      </c>
      <c r="E33" s="2">
        <v>181.2</v>
      </c>
      <c r="F33" s="2" t="s">
        <v>38</v>
      </c>
      <c r="G33" s="3">
        <v>7.6E-3</v>
      </c>
    </row>
    <row r="34" spans="1:7" x14ac:dyDescent="0.35">
      <c r="A34" s="1">
        <v>45937</v>
      </c>
      <c r="B34" s="2">
        <v>182.17</v>
      </c>
      <c r="C34" s="2">
        <v>180.31</v>
      </c>
      <c r="D34" s="2">
        <v>186.18</v>
      </c>
      <c r="E34" s="2">
        <v>179.42</v>
      </c>
      <c r="F34" s="2" t="s">
        <v>39</v>
      </c>
      <c r="G34" s="3">
        <v>1.47E-2</v>
      </c>
    </row>
    <row r="35" spans="1:7" x14ac:dyDescent="0.35">
      <c r="A35" s="1">
        <v>45936</v>
      </c>
      <c r="B35" s="2">
        <v>179.53</v>
      </c>
      <c r="C35" s="2">
        <v>179.18</v>
      </c>
      <c r="D35" s="2">
        <v>182.95</v>
      </c>
      <c r="E35" s="2">
        <v>177.83</v>
      </c>
      <c r="F35" s="2" t="s">
        <v>40</v>
      </c>
      <c r="G35" s="3">
        <v>3.73E-2</v>
      </c>
    </row>
    <row r="36" spans="1:7" x14ac:dyDescent="0.35">
      <c r="A36" s="1">
        <v>45933</v>
      </c>
      <c r="B36" s="2">
        <v>173.07</v>
      </c>
      <c r="C36" s="2">
        <v>186.4</v>
      </c>
      <c r="D36" s="2">
        <v>186.84</v>
      </c>
      <c r="E36" s="2">
        <v>170.77</v>
      </c>
      <c r="F36" s="2" t="s">
        <v>41</v>
      </c>
      <c r="G36" s="3">
        <v>-7.4700000000000003E-2</v>
      </c>
    </row>
    <row r="37" spans="1:7" x14ac:dyDescent="0.35">
      <c r="A37" s="1">
        <v>45932</v>
      </c>
      <c r="B37" s="2">
        <v>187.05</v>
      </c>
      <c r="C37" s="2">
        <v>186.7</v>
      </c>
      <c r="D37" s="2">
        <v>188.2</v>
      </c>
      <c r="E37" s="2">
        <v>182.95</v>
      </c>
      <c r="F37" s="2" t="s">
        <v>42</v>
      </c>
      <c r="G37" s="3">
        <v>1.14E-2</v>
      </c>
    </row>
    <row r="38" spans="1:7" x14ac:dyDescent="0.35">
      <c r="A38" s="1">
        <v>45931</v>
      </c>
      <c r="B38" s="2">
        <v>184.95</v>
      </c>
      <c r="C38" s="2">
        <v>181.32</v>
      </c>
      <c r="D38" s="2">
        <v>186.28</v>
      </c>
      <c r="E38" s="2">
        <v>179.5</v>
      </c>
      <c r="F38" s="2" t="s">
        <v>43</v>
      </c>
      <c r="G38" s="3">
        <v>1.3899999999999999E-2</v>
      </c>
    </row>
    <row r="39" spans="1:7" x14ac:dyDescent="0.35">
      <c r="A39" s="1">
        <v>45930</v>
      </c>
      <c r="B39" s="2">
        <v>182.42</v>
      </c>
      <c r="C39" s="2">
        <v>178.98</v>
      </c>
      <c r="D39" s="2">
        <v>182.77</v>
      </c>
      <c r="E39" s="2">
        <v>178.22</v>
      </c>
      <c r="F39" s="2" t="s">
        <v>44</v>
      </c>
      <c r="G39" s="3">
        <v>1.9900000000000001E-2</v>
      </c>
    </row>
    <row r="40" spans="1:7" x14ac:dyDescent="0.35">
      <c r="A40" s="1">
        <v>45929</v>
      </c>
      <c r="B40" s="2">
        <v>178.86</v>
      </c>
      <c r="C40" s="2">
        <v>179.64</v>
      </c>
      <c r="D40" s="2">
        <v>181.48</v>
      </c>
      <c r="E40" s="2">
        <v>177.16</v>
      </c>
      <c r="F40" s="2" t="s">
        <v>45</v>
      </c>
      <c r="G40" s="3">
        <v>7.3000000000000001E-3</v>
      </c>
    </row>
    <row r="41" spans="1:7" x14ac:dyDescent="0.35">
      <c r="A41" s="1">
        <v>45926</v>
      </c>
      <c r="B41" s="2">
        <v>177.57</v>
      </c>
      <c r="C41" s="2">
        <v>179.05</v>
      </c>
      <c r="D41" s="2">
        <v>180.12</v>
      </c>
      <c r="E41" s="2">
        <v>174.91</v>
      </c>
      <c r="F41" s="2" t="s">
        <v>46</v>
      </c>
      <c r="G41" s="3">
        <v>-8.6999999999999994E-3</v>
      </c>
    </row>
    <row r="42" spans="1:7" x14ac:dyDescent="0.35">
      <c r="A42" s="1">
        <v>45925</v>
      </c>
      <c r="B42" s="2">
        <v>179.12</v>
      </c>
      <c r="C42" s="2">
        <v>175.8</v>
      </c>
      <c r="D42" s="2">
        <v>184.32</v>
      </c>
      <c r="E42" s="2">
        <v>174.29</v>
      </c>
      <c r="F42" s="2" t="s">
        <v>47</v>
      </c>
      <c r="G42" s="3">
        <v>-2.5000000000000001E-3</v>
      </c>
    </row>
    <row r="43" spans="1:7" x14ac:dyDescent="0.35">
      <c r="A43" s="1">
        <v>45924</v>
      </c>
      <c r="B43" s="2">
        <v>179.56</v>
      </c>
      <c r="C43" s="2">
        <v>183.91</v>
      </c>
      <c r="D43" s="2">
        <v>184.85</v>
      </c>
      <c r="E43" s="2">
        <v>177.12</v>
      </c>
      <c r="F43" s="2" t="s">
        <v>48</v>
      </c>
      <c r="G43" s="3">
        <v>-1.6400000000000001E-2</v>
      </c>
    </row>
    <row r="44" spans="1:7" x14ac:dyDescent="0.35">
      <c r="A44" s="1">
        <v>45923</v>
      </c>
      <c r="B44" s="2">
        <v>182.55</v>
      </c>
      <c r="C44" s="2">
        <v>182.51</v>
      </c>
      <c r="D44" s="2">
        <v>185.75</v>
      </c>
      <c r="E44" s="2">
        <v>177.01</v>
      </c>
      <c r="F44" s="2" t="s">
        <v>49</v>
      </c>
      <c r="G44" s="3">
        <v>1.7999999999999999E-2</v>
      </c>
    </row>
    <row r="45" spans="1:7" x14ac:dyDescent="0.35">
      <c r="A45" s="1">
        <v>45922</v>
      </c>
      <c r="B45" s="2">
        <v>179.33</v>
      </c>
      <c r="C45" s="2">
        <v>180.88</v>
      </c>
      <c r="D45" s="2">
        <v>182.25</v>
      </c>
      <c r="E45" s="2">
        <v>178.29</v>
      </c>
      <c r="F45" s="2" t="s">
        <v>50</v>
      </c>
      <c r="G45" s="3">
        <v>-1.6799999999999999E-2</v>
      </c>
    </row>
    <row r="46" spans="1:7" x14ac:dyDescent="0.35">
      <c r="A46" s="1">
        <v>45919</v>
      </c>
      <c r="B46" s="2">
        <v>182.39</v>
      </c>
      <c r="C46" s="2">
        <v>177.07</v>
      </c>
      <c r="D46" s="2">
        <v>184.42</v>
      </c>
      <c r="E46" s="2">
        <v>176.71</v>
      </c>
      <c r="F46" s="2" t="s">
        <v>51</v>
      </c>
      <c r="G46" s="3">
        <v>3.0599999999999999E-2</v>
      </c>
    </row>
    <row r="47" spans="1:7" x14ac:dyDescent="0.35">
      <c r="A47" s="1">
        <v>45918</v>
      </c>
      <c r="B47" s="2">
        <v>176.97</v>
      </c>
      <c r="C47" s="2">
        <v>170.27</v>
      </c>
      <c r="D47" s="2">
        <v>178.8</v>
      </c>
      <c r="E47" s="2">
        <v>169.39</v>
      </c>
      <c r="F47" s="2" t="s">
        <v>52</v>
      </c>
      <c r="G47" s="3">
        <v>5.1299999999999998E-2</v>
      </c>
    </row>
    <row r="48" spans="1:7" x14ac:dyDescent="0.35">
      <c r="A48" s="1">
        <v>45917</v>
      </c>
      <c r="B48" s="2">
        <v>168.33</v>
      </c>
      <c r="C48" s="2">
        <v>169.02</v>
      </c>
      <c r="D48" s="2">
        <v>169.68</v>
      </c>
      <c r="E48" s="2">
        <v>161.27000000000001</v>
      </c>
      <c r="F48" s="2" t="s">
        <v>53</v>
      </c>
      <c r="G48" s="3">
        <v>-1.1299999999999999E-2</v>
      </c>
    </row>
    <row r="49" spans="1:7" x14ac:dyDescent="0.35">
      <c r="A49" s="1">
        <v>45916</v>
      </c>
      <c r="B49" s="2">
        <v>170.26</v>
      </c>
      <c r="C49" s="2">
        <v>171.04</v>
      </c>
      <c r="D49" s="2">
        <v>171.31</v>
      </c>
      <c r="E49" s="2">
        <v>168.96</v>
      </c>
      <c r="F49" s="2" t="s">
        <v>54</v>
      </c>
      <c r="G49" s="3">
        <v>-5.4999999999999997E-3</v>
      </c>
    </row>
    <row r="50" spans="1:7" x14ac:dyDescent="0.35">
      <c r="A50" s="1">
        <v>45915</v>
      </c>
      <c r="B50" s="2">
        <v>171.21</v>
      </c>
      <c r="C50" s="2">
        <v>169.6</v>
      </c>
      <c r="D50" s="2">
        <v>171.8</v>
      </c>
      <c r="E50" s="2">
        <v>167.41</v>
      </c>
      <c r="F50" s="2" t="s">
        <v>55</v>
      </c>
      <c r="G50" s="3">
        <v>-1.2999999999999999E-3</v>
      </c>
    </row>
    <row r="51" spans="1:7" x14ac:dyDescent="0.35">
      <c r="A51" s="1">
        <v>45912</v>
      </c>
      <c r="B51" s="2">
        <v>171.43</v>
      </c>
      <c r="C51" s="2">
        <v>165.35</v>
      </c>
      <c r="D51" s="2">
        <v>171.53</v>
      </c>
      <c r="E51" s="2">
        <v>164.01</v>
      </c>
      <c r="F51" s="2" t="s">
        <v>56</v>
      </c>
      <c r="G51" s="3">
        <v>4.2999999999999997E-2</v>
      </c>
    </row>
    <row r="52" spans="1:7" x14ac:dyDescent="0.35">
      <c r="A52" s="1">
        <v>45911</v>
      </c>
      <c r="B52" s="2">
        <v>164.36</v>
      </c>
      <c r="C52" s="2">
        <v>167.24</v>
      </c>
      <c r="D52" s="2">
        <v>167.46</v>
      </c>
      <c r="E52" s="2">
        <v>163.22</v>
      </c>
      <c r="F52" s="2" t="s">
        <v>57</v>
      </c>
      <c r="G52" s="3">
        <v>-1.43E-2</v>
      </c>
    </row>
    <row r="53" spans="1:7" x14ac:dyDescent="0.35">
      <c r="A53" s="1">
        <v>45910</v>
      </c>
      <c r="B53" s="2">
        <v>166.74</v>
      </c>
      <c r="C53" s="2">
        <v>166</v>
      </c>
      <c r="D53" s="2">
        <v>169</v>
      </c>
      <c r="E53" s="2">
        <v>163.44</v>
      </c>
      <c r="F53" s="2" t="s">
        <v>58</v>
      </c>
      <c r="G53" s="3">
        <v>2.7E-2</v>
      </c>
    </row>
    <row r="54" spans="1:7" x14ac:dyDescent="0.35">
      <c r="A54" s="1">
        <v>45909</v>
      </c>
      <c r="B54" s="2">
        <v>162.36000000000001</v>
      </c>
      <c r="C54" s="2">
        <v>157.25</v>
      </c>
      <c r="D54" s="2">
        <v>162.75</v>
      </c>
      <c r="E54" s="2">
        <v>156.37</v>
      </c>
      <c r="F54" s="2" t="s">
        <v>59</v>
      </c>
      <c r="G54" s="3">
        <v>4.0099999999999997E-2</v>
      </c>
    </row>
    <row r="55" spans="1:7" x14ac:dyDescent="0.35">
      <c r="A55" s="1">
        <v>45908</v>
      </c>
      <c r="B55" s="2">
        <v>156.1</v>
      </c>
      <c r="C55" s="2">
        <v>154.91</v>
      </c>
      <c r="D55" s="2">
        <v>158.30000000000001</v>
      </c>
      <c r="E55" s="2">
        <v>154.84</v>
      </c>
      <c r="F55" s="2" t="s">
        <v>60</v>
      </c>
      <c r="G55" s="3">
        <v>1.95E-2</v>
      </c>
    </row>
    <row r="56" spans="1:7" x14ac:dyDescent="0.35">
      <c r="A56" s="1">
        <v>45905</v>
      </c>
      <c r="B56" s="2">
        <v>153.11000000000001</v>
      </c>
      <c r="C56" s="2">
        <v>157.82</v>
      </c>
      <c r="D56" s="2">
        <v>158.97</v>
      </c>
      <c r="E56" s="2">
        <v>148.04</v>
      </c>
      <c r="F56" s="2" t="s">
        <v>61</v>
      </c>
      <c r="G56" s="3">
        <v>-1.9400000000000001E-2</v>
      </c>
    </row>
    <row r="57" spans="1:7" x14ac:dyDescent="0.35">
      <c r="A57" s="1">
        <v>45904</v>
      </c>
      <c r="B57" s="2">
        <v>156.13999999999999</v>
      </c>
      <c r="C57" s="2">
        <v>154.87</v>
      </c>
      <c r="D57" s="2">
        <v>157.04</v>
      </c>
      <c r="E57" s="2">
        <v>153.16</v>
      </c>
      <c r="F57" s="2" t="s">
        <v>62</v>
      </c>
      <c r="G57" s="3">
        <v>8.0000000000000002E-3</v>
      </c>
    </row>
    <row r="58" spans="1:7" x14ac:dyDescent="0.35">
      <c r="A58" s="1">
        <v>45903</v>
      </c>
      <c r="B58" s="2">
        <v>154.9</v>
      </c>
      <c r="C58" s="2">
        <v>158</v>
      </c>
      <c r="D58" s="2">
        <v>161.15</v>
      </c>
      <c r="E58" s="2">
        <v>152.71</v>
      </c>
      <c r="F58" s="2" t="s">
        <v>63</v>
      </c>
      <c r="G58" s="3">
        <v>-1.3899999999999999E-2</v>
      </c>
    </row>
    <row r="59" spans="1:7" x14ac:dyDescent="0.35">
      <c r="A59" s="1">
        <v>45902</v>
      </c>
      <c r="B59" s="2">
        <v>157.09</v>
      </c>
      <c r="C59" s="2">
        <v>151.19999999999999</v>
      </c>
      <c r="D59" s="2">
        <v>158.38999999999999</v>
      </c>
      <c r="E59" s="2">
        <v>150.28</v>
      </c>
      <c r="F59" s="2" t="s">
        <v>64</v>
      </c>
      <c r="G59" s="3">
        <v>2.3999999999999998E-3</v>
      </c>
    </row>
    <row r="60" spans="1:7" x14ac:dyDescent="0.35">
      <c r="A60" s="1">
        <v>45898</v>
      </c>
      <c r="B60" s="2">
        <v>156.71</v>
      </c>
      <c r="C60" s="2">
        <v>156.97999999999999</v>
      </c>
      <c r="D60" s="2">
        <v>158.41999999999999</v>
      </c>
      <c r="E60" s="2">
        <v>153</v>
      </c>
      <c r="F60" s="2" t="s">
        <v>65</v>
      </c>
      <c r="G60" s="3">
        <v>-8.8999999999999999E-3</v>
      </c>
    </row>
    <row r="61" spans="1:7" x14ac:dyDescent="0.35">
      <c r="A61" s="1">
        <v>45897</v>
      </c>
      <c r="B61" s="2">
        <v>158.12</v>
      </c>
      <c r="C61" s="2">
        <v>157.63</v>
      </c>
      <c r="D61" s="2">
        <v>158.22999999999999</v>
      </c>
      <c r="E61" s="2">
        <v>152.55000000000001</v>
      </c>
      <c r="F61" s="2" t="s">
        <v>66</v>
      </c>
      <c r="G61" s="3">
        <v>8.8999999999999999E-3</v>
      </c>
    </row>
    <row r="62" spans="1:7" x14ac:dyDescent="0.35">
      <c r="A62" s="1">
        <v>45896</v>
      </c>
      <c r="B62" s="2">
        <v>156.72</v>
      </c>
      <c r="C62" s="2">
        <v>162.32</v>
      </c>
      <c r="D62" s="2">
        <v>162.4</v>
      </c>
      <c r="E62" s="2">
        <v>155.97999999999999</v>
      </c>
      <c r="F62" s="2" t="s">
        <v>67</v>
      </c>
      <c r="G62" s="3">
        <v>-2.58E-2</v>
      </c>
    </row>
    <row r="63" spans="1:7" x14ac:dyDescent="0.35">
      <c r="A63" s="1">
        <v>45895</v>
      </c>
      <c r="B63" s="2">
        <v>160.87</v>
      </c>
      <c r="C63" s="2">
        <v>155.38999999999999</v>
      </c>
      <c r="D63" s="2">
        <v>162.13</v>
      </c>
      <c r="E63" s="2">
        <v>154.57</v>
      </c>
      <c r="F63" s="2" t="s">
        <v>68</v>
      </c>
      <c r="G63" s="3">
        <v>2.35E-2</v>
      </c>
    </row>
    <row r="64" spans="1:7" x14ac:dyDescent="0.35">
      <c r="A64" s="1">
        <v>45894</v>
      </c>
      <c r="B64" s="2">
        <v>157.16999999999999</v>
      </c>
      <c r="C64" s="2">
        <v>156.1</v>
      </c>
      <c r="D64" s="2">
        <v>158.59</v>
      </c>
      <c r="E64" s="2">
        <v>149.37</v>
      </c>
      <c r="F64" s="2" t="s">
        <v>69</v>
      </c>
      <c r="G64" s="3">
        <v>-9.9000000000000008E-3</v>
      </c>
    </row>
    <row r="65" spans="1:7" x14ac:dyDescent="0.35">
      <c r="A65" s="1">
        <v>45891</v>
      </c>
      <c r="B65" s="2">
        <v>158.74</v>
      </c>
      <c r="C65" s="2">
        <v>155.32</v>
      </c>
      <c r="D65" s="2">
        <v>163.19999999999999</v>
      </c>
      <c r="E65" s="2">
        <v>151.77000000000001</v>
      </c>
      <c r="F65" s="2" t="s">
        <v>70</v>
      </c>
      <c r="G65" s="3">
        <v>1.6400000000000001E-2</v>
      </c>
    </row>
    <row r="66" spans="1:7" x14ac:dyDescent="0.35">
      <c r="A66" s="1">
        <v>45890</v>
      </c>
      <c r="B66" s="2">
        <v>156.18</v>
      </c>
      <c r="C66" s="2">
        <v>157.16999999999999</v>
      </c>
      <c r="D66" s="2">
        <v>157.97</v>
      </c>
      <c r="E66" s="2">
        <v>153.81</v>
      </c>
      <c r="F66" s="2" t="s">
        <v>71</v>
      </c>
      <c r="G66" s="3">
        <v>1.1000000000000001E-3</v>
      </c>
    </row>
    <row r="67" spans="1:7" x14ac:dyDescent="0.35">
      <c r="A67" s="1">
        <v>45889</v>
      </c>
      <c r="B67" s="2">
        <v>156.01</v>
      </c>
      <c r="C67" s="2">
        <v>152.30000000000001</v>
      </c>
      <c r="D67" s="2">
        <v>156.46</v>
      </c>
      <c r="E67" s="2">
        <v>142.34</v>
      </c>
      <c r="F67" s="2" t="s">
        <v>72</v>
      </c>
      <c r="G67" s="3">
        <v>-1.0999999999999999E-2</v>
      </c>
    </row>
    <row r="68" spans="1:7" x14ac:dyDescent="0.35">
      <c r="A68" s="1">
        <v>45888</v>
      </c>
      <c r="B68" s="2">
        <v>157.75</v>
      </c>
      <c r="C68" s="2">
        <v>171.36</v>
      </c>
      <c r="D68" s="2">
        <v>172.3</v>
      </c>
      <c r="E68" s="2">
        <v>156.9</v>
      </c>
      <c r="F68" s="2" t="s">
        <v>73</v>
      </c>
      <c r="G68" s="3">
        <v>-9.35E-2</v>
      </c>
    </row>
    <row r="69" spans="1:7" x14ac:dyDescent="0.35">
      <c r="A69" s="1">
        <v>45887</v>
      </c>
      <c r="B69" s="2">
        <v>174.03</v>
      </c>
      <c r="C69" s="2">
        <v>175.27</v>
      </c>
      <c r="D69" s="2">
        <v>177.9</v>
      </c>
      <c r="E69" s="2">
        <v>171.39</v>
      </c>
      <c r="F69" s="2" t="s">
        <v>74</v>
      </c>
      <c r="G69" s="3">
        <v>-1.77E-2</v>
      </c>
    </row>
    <row r="70" spans="1:7" x14ac:dyDescent="0.35">
      <c r="A70" s="1">
        <v>45884</v>
      </c>
      <c r="B70" s="2">
        <v>177.17</v>
      </c>
      <c r="C70" s="2">
        <v>179.73</v>
      </c>
      <c r="D70" s="2">
        <v>180</v>
      </c>
      <c r="E70" s="2">
        <v>173.38</v>
      </c>
      <c r="F70" s="2" t="s">
        <v>75</v>
      </c>
      <c r="G70" s="3">
        <v>-2.1299999999999999E-2</v>
      </c>
    </row>
    <row r="71" spans="1:7" x14ac:dyDescent="0.35">
      <c r="A71" s="1">
        <v>45883</v>
      </c>
      <c r="B71" s="2">
        <v>181.02</v>
      </c>
      <c r="C71" s="2">
        <v>182.41</v>
      </c>
      <c r="D71" s="2">
        <v>185.33</v>
      </c>
      <c r="E71" s="2">
        <v>179.2</v>
      </c>
      <c r="F71" s="2" t="s">
        <v>76</v>
      </c>
      <c r="G71" s="3">
        <v>-1.8200000000000001E-2</v>
      </c>
    </row>
    <row r="72" spans="1:7" x14ac:dyDescent="0.35">
      <c r="A72" s="1">
        <v>45882</v>
      </c>
      <c r="B72" s="2">
        <v>184.37</v>
      </c>
      <c r="C72" s="2">
        <v>189</v>
      </c>
      <c r="D72" s="2">
        <v>189.46</v>
      </c>
      <c r="E72" s="2">
        <v>183.59</v>
      </c>
      <c r="F72" s="2" t="s">
        <v>77</v>
      </c>
      <c r="G72" s="3">
        <v>-1.3899999999999999E-2</v>
      </c>
    </row>
    <row r="73" spans="1:7" x14ac:dyDescent="0.35">
      <c r="A73" s="1">
        <v>45881</v>
      </c>
      <c r="B73" s="2">
        <v>186.97</v>
      </c>
      <c r="C73" s="2">
        <v>184.7</v>
      </c>
      <c r="D73" s="2">
        <v>190</v>
      </c>
      <c r="E73" s="2">
        <v>182.1</v>
      </c>
      <c r="F73" s="2" t="s">
        <v>78</v>
      </c>
      <c r="G73" s="3">
        <v>2.35E-2</v>
      </c>
    </row>
    <row r="74" spans="1:7" x14ac:dyDescent="0.35">
      <c r="A74" s="1">
        <v>45880</v>
      </c>
      <c r="B74" s="2">
        <v>182.68</v>
      </c>
      <c r="C74" s="2">
        <v>186.47</v>
      </c>
      <c r="D74" s="2">
        <v>187.18</v>
      </c>
      <c r="E74" s="2">
        <v>181.92</v>
      </c>
      <c r="F74" s="2" t="s">
        <v>79</v>
      </c>
      <c r="G74" s="3">
        <v>-2.29E-2</v>
      </c>
    </row>
    <row r="75" spans="1:7" x14ac:dyDescent="0.35">
      <c r="A75" s="1">
        <v>45877</v>
      </c>
      <c r="B75" s="2">
        <v>186.96</v>
      </c>
      <c r="C75" s="2">
        <v>184.74</v>
      </c>
      <c r="D75" s="2">
        <v>187.99</v>
      </c>
      <c r="E75" s="2">
        <v>184.41</v>
      </c>
      <c r="F75" s="2" t="s">
        <v>74</v>
      </c>
      <c r="G75" s="3">
        <v>2.6100000000000002E-2</v>
      </c>
    </row>
    <row r="76" spans="1:7" x14ac:dyDescent="0.35">
      <c r="A76" s="1">
        <v>45876</v>
      </c>
      <c r="B76" s="2">
        <v>182.2</v>
      </c>
      <c r="C76" s="2">
        <v>181.01</v>
      </c>
      <c r="D76" s="2">
        <v>184.48</v>
      </c>
      <c r="E76" s="2">
        <v>178.17</v>
      </c>
      <c r="F76" s="2" t="s">
        <v>80</v>
      </c>
      <c r="G76" s="3">
        <v>1.4800000000000001E-2</v>
      </c>
    </row>
    <row r="77" spans="1:7" x14ac:dyDescent="0.35">
      <c r="A77" s="1">
        <v>45875</v>
      </c>
      <c r="B77" s="2">
        <v>179.54</v>
      </c>
      <c r="C77" s="2">
        <v>171.18</v>
      </c>
      <c r="D77" s="2">
        <v>180.58</v>
      </c>
      <c r="E77" s="2">
        <v>171.01</v>
      </c>
      <c r="F77" s="2" t="s">
        <v>81</v>
      </c>
      <c r="G77" s="3">
        <v>3.6200000000000003E-2</v>
      </c>
    </row>
    <row r="78" spans="1:7" x14ac:dyDescent="0.35">
      <c r="A78" s="1">
        <v>45874</v>
      </c>
      <c r="B78" s="2">
        <v>173.27</v>
      </c>
      <c r="C78" s="2">
        <v>171.81</v>
      </c>
      <c r="D78" s="2">
        <v>176.33</v>
      </c>
      <c r="E78" s="2">
        <v>169.22</v>
      </c>
      <c r="F78" s="2" t="s">
        <v>82</v>
      </c>
      <c r="G78" s="3">
        <v>7.85E-2</v>
      </c>
    </row>
    <row r="79" spans="1:7" x14ac:dyDescent="0.35">
      <c r="A79" s="1">
        <v>45873</v>
      </c>
      <c r="B79" s="2">
        <v>160.66</v>
      </c>
      <c r="C79" s="2">
        <v>158.53</v>
      </c>
      <c r="D79" s="2">
        <v>161.4</v>
      </c>
      <c r="E79" s="2">
        <v>157.93</v>
      </c>
      <c r="F79" s="2" t="s">
        <v>83</v>
      </c>
      <c r="G79" s="3">
        <v>4.1399999999999999E-2</v>
      </c>
    </row>
    <row r="80" spans="1:7" x14ac:dyDescent="0.35">
      <c r="A80" s="1">
        <v>45870</v>
      </c>
      <c r="B80" s="2">
        <v>154.27000000000001</v>
      </c>
      <c r="C80" s="2">
        <v>155.05000000000001</v>
      </c>
      <c r="D80" s="2">
        <v>158.19</v>
      </c>
      <c r="E80" s="2">
        <v>151.06</v>
      </c>
      <c r="F80" s="2" t="s">
        <v>84</v>
      </c>
      <c r="G80" s="3">
        <v>-2.58E-2</v>
      </c>
    </row>
    <row r="81" spans="1:7" x14ac:dyDescent="0.35">
      <c r="A81" s="1">
        <v>45869</v>
      </c>
      <c r="B81" s="2">
        <v>158.35</v>
      </c>
      <c r="C81" s="2">
        <v>159.99</v>
      </c>
      <c r="D81" s="2">
        <v>160.88999999999999</v>
      </c>
      <c r="E81" s="2">
        <v>156.72999999999999</v>
      </c>
      <c r="F81" s="2" t="s">
        <v>85</v>
      </c>
      <c r="G81" s="3">
        <v>-1.6000000000000001E-3</v>
      </c>
    </row>
    <row r="82" spans="1:7" x14ac:dyDescent="0.35">
      <c r="A82" s="1">
        <v>45868</v>
      </c>
      <c r="B82" s="2">
        <v>158.61000000000001</v>
      </c>
      <c r="C82" s="2">
        <v>157.37</v>
      </c>
      <c r="D82" s="2">
        <v>159.38</v>
      </c>
      <c r="E82" s="2">
        <v>156.56</v>
      </c>
      <c r="F82" s="2" t="s">
        <v>86</v>
      </c>
      <c r="G82" s="3">
        <v>1.52E-2</v>
      </c>
    </row>
    <row r="83" spans="1:7" x14ac:dyDescent="0.35">
      <c r="A83" s="1">
        <v>45867</v>
      </c>
      <c r="B83" s="2">
        <v>156.24</v>
      </c>
      <c r="C83" s="2">
        <v>158.71</v>
      </c>
      <c r="D83" s="2">
        <v>160.13999999999999</v>
      </c>
      <c r="E83" s="2">
        <v>154.91</v>
      </c>
      <c r="F83" s="2" t="s">
        <v>87</v>
      </c>
      <c r="G83" s="3">
        <v>-1.04E-2</v>
      </c>
    </row>
    <row r="84" spans="1:7" x14ac:dyDescent="0.35">
      <c r="A84" s="1">
        <v>45866</v>
      </c>
      <c r="B84" s="2">
        <v>157.88</v>
      </c>
      <c r="C84" s="2">
        <v>159.88</v>
      </c>
      <c r="D84" s="2">
        <v>160.28</v>
      </c>
      <c r="E84" s="2">
        <v>153.04</v>
      </c>
      <c r="F84" s="2" t="s">
        <v>88</v>
      </c>
      <c r="G84" s="3">
        <v>-5.7999999999999996E-3</v>
      </c>
    </row>
    <row r="85" spans="1:7" x14ac:dyDescent="0.35">
      <c r="A85" s="1">
        <v>45863</v>
      </c>
      <c r="B85" s="2">
        <v>158.80000000000001</v>
      </c>
      <c r="C85" s="2">
        <v>155.63</v>
      </c>
      <c r="D85" s="2">
        <v>160.38999999999999</v>
      </c>
      <c r="E85" s="2">
        <v>155.58000000000001</v>
      </c>
      <c r="F85" s="2" t="s">
        <v>89</v>
      </c>
      <c r="G85" s="3">
        <v>2.5399999999999999E-2</v>
      </c>
    </row>
    <row r="86" spans="1:7" x14ac:dyDescent="0.35">
      <c r="A86" s="1">
        <v>45862</v>
      </c>
      <c r="B86" s="2">
        <v>154.86000000000001</v>
      </c>
      <c r="C86" s="2">
        <v>153.97999999999999</v>
      </c>
      <c r="D86" s="2">
        <v>155.63</v>
      </c>
      <c r="E86" s="2">
        <v>152.57</v>
      </c>
      <c r="F86" s="2" t="s">
        <v>90</v>
      </c>
      <c r="G86" s="3">
        <v>1.5E-3</v>
      </c>
    </row>
    <row r="87" spans="1:7" x14ac:dyDescent="0.35">
      <c r="A87" s="1">
        <v>45861</v>
      </c>
      <c r="B87" s="2">
        <v>154.63</v>
      </c>
      <c r="C87" s="2">
        <v>149.74</v>
      </c>
      <c r="D87" s="2">
        <v>155</v>
      </c>
      <c r="E87" s="2">
        <v>148.29</v>
      </c>
      <c r="F87" s="2" t="s">
        <v>91</v>
      </c>
      <c r="G87" s="3">
        <v>3.73E-2</v>
      </c>
    </row>
    <row r="88" spans="1:7" x14ac:dyDescent="0.35">
      <c r="A88" s="1">
        <v>45860</v>
      </c>
      <c r="B88" s="2">
        <v>149.07</v>
      </c>
      <c r="C88" s="2">
        <v>150.85</v>
      </c>
      <c r="D88" s="2">
        <v>151.79</v>
      </c>
      <c r="E88" s="2">
        <v>145.06</v>
      </c>
      <c r="F88" s="2" t="s">
        <v>92</v>
      </c>
      <c r="G88" s="3">
        <v>-1.7899999999999999E-2</v>
      </c>
    </row>
    <row r="89" spans="1:7" x14ac:dyDescent="0.35">
      <c r="A89" s="1">
        <v>45859</v>
      </c>
      <c r="B89" s="2">
        <v>151.79</v>
      </c>
      <c r="C89" s="2">
        <v>153.88</v>
      </c>
      <c r="D89" s="2">
        <v>155.44</v>
      </c>
      <c r="E89" s="2">
        <v>151.36000000000001</v>
      </c>
      <c r="F89" s="2" t="s">
        <v>93</v>
      </c>
      <c r="G89" s="3">
        <v>-1.1299999999999999E-2</v>
      </c>
    </row>
    <row r="90" spans="1:7" x14ac:dyDescent="0.35">
      <c r="A90" s="1">
        <v>45856</v>
      </c>
      <c r="B90" s="2">
        <v>153.52000000000001</v>
      </c>
      <c r="C90" s="2">
        <v>154.86000000000001</v>
      </c>
      <c r="D90" s="2">
        <v>154.91999999999999</v>
      </c>
      <c r="E90" s="2">
        <v>151.9</v>
      </c>
      <c r="F90" s="2" t="s">
        <v>94</v>
      </c>
      <c r="G90" s="3">
        <v>-3.0999999999999999E-3</v>
      </c>
    </row>
    <row r="91" spans="1:7" x14ac:dyDescent="0.35">
      <c r="A91" s="1">
        <v>45855</v>
      </c>
      <c r="B91" s="2">
        <v>153.99</v>
      </c>
      <c r="C91" s="2">
        <v>151.56</v>
      </c>
      <c r="D91" s="2">
        <v>155.68</v>
      </c>
      <c r="E91" s="2">
        <v>150.82</v>
      </c>
      <c r="F91" s="2" t="s">
        <v>95</v>
      </c>
      <c r="G91" s="3">
        <v>2.0400000000000001E-2</v>
      </c>
    </row>
    <row r="92" spans="1:7" x14ac:dyDescent="0.35">
      <c r="A92" s="1">
        <v>45854</v>
      </c>
      <c r="B92" s="2">
        <v>150.91</v>
      </c>
      <c r="C92" s="2">
        <v>149.30000000000001</v>
      </c>
      <c r="D92" s="2">
        <v>151.51</v>
      </c>
      <c r="E92" s="2">
        <v>147.66999999999999</v>
      </c>
      <c r="F92" s="2" t="s">
        <v>96</v>
      </c>
      <c r="G92" s="3">
        <v>1.5699999999999999E-2</v>
      </c>
    </row>
    <row r="93" spans="1:7" x14ac:dyDescent="0.35">
      <c r="A93" s="1">
        <v>45853</v>
      </c>
      <c r="B93" s="2">
        <v>148.58000000000001</v>
      </c>
      <c r="C93" s="2">
        <v>148.93</v>
      </c>
      <c r="D93" s="2">
        <v>150.62</v>
      </c>
      <c r="E93" s="2">
        <v>147.36000000000001</v>
      </c>
      <c r="F93" s="2" t="s">
        <v>97</v>
      </c>
      <c r="G93" s="3">
        <v>-3.8E-3</v>
      </c>
    </row>
    <row r="94" spans="1:7" x14ac:dyDescent="0.35">
      <c r="A94" s="1">
        <v>45852</v>
      </c>
      <c r="B94" s="2">
        <v>149.15</v>
      </c>
      <c r="C94" s="2">
        <v>142.72</v>
      </c>
      <c r="D94" s="2">
        <v>149.57</v>
      </c>
      <c r="E94" s="2">
        <v>142.22</v>
      </c>
      <c r="F94" s="2" t="s">
        <v>98</v>
      </c>
      <c r="G94" s="3">
        <v>4.9599999999999998E-2</v>
      </c>
    </row>
    <row r="95" spans="1:7" x14ac:dyDescent="0.35">
      <c r="A95" s="1">
        <v>45849</v>
      </c>
      <c r="B95" s="2">
        <v>142.1</v>
      </c>
      <c r="C95" s="2">
        <v>142.11000000000001</v>
      </c>
      <c r="D95" s="2">
        <v>144.58000000000001</v>
      </c>
      <c r="E95" s="2">
        <v>141.47</v>
      </c>
      <c r="F95" s="2" t="s">
        <v>99</v>
      </c>
      <c r="G95" s="3">
        <v>-2.8E-3</v>
      </c>
    </row>
    <row r="96" spans="1:7" x14ac:dyDescent="0.35">
      <c r="A96" s="1">
        <v>45848</v>
      </c>
      <c r="B96" s="2">
        <v>142.5</v>
      </c>
      <c r="C96" s="2">
        <v>143.31</v>
      </c>
      <c r="D96" s="2">
        <v>145.16</v>
      </c>
      <c r="E96" s="2">
        <v>139.53</v>
      </c>
      <c r="F96" s="2" t="s">
        <v>100</v>
      </c>
      <c r="G96" s="3">
        <v>-4.4000000000000003E-3</v>
      </c>
    </row>
    <row r="97" spans="1:7" x14ac:dyDescent="0.35">
      <c r="A97" s="1">
        <v>45847</v>
      </c>
      <c r="B97" s="2">
        <v>143.13</v>
      </c>
      <c r="C97" s="2">
        <v>139.65</v>
      </c>
      <c r="D97" s="2">
        <v>143.16999999999999</v>
      </c>
      <c r="E97" s="2">
        <v>137.38999999999999</v>
      </c>
      <c r="F97" s="2" t="s">
        <v>101</v>
      </c>
      <c r="G97" s="3">
        <v>2.4500000000000001E-2</v>
      </c>
    </row>
    <row r="98" spans="1:7" x14ac:dyDescent="0.35">
      <c r="A98" s="1">
        <v>45846</v>
      </c>
      <c r="B98" s="2">
        <v>139.71</v>
      </c>
      <c r="C98" s="2">
        <v>138.77000000000001</v>
      </c>
      <c r="D98" s="2">
        <v>139.85</v>
      </c>
      <c r="E98" s="2">
        <v>135.79</v>
      </c>
      <c r="F98" s="2" t="s">
        <v>102</v>
      </c>
      <c r="G98" s="3">
        <v>4.1999999999999997E-3</v>
      </c>
    </row>
    <row r="99" spans="1:7" x14ac:dyDescent="0.35">
      <c r="A99" s="1">
        <v>45845</v>
      </c>
      <c r="B99" s="2">
        <v>139.12</v>
      </c>
      <c r="C99" s="2">
        <v>134.38</v>
      </c>
      <c r="D99" s="2">
        <v>139.29</v>
      </c>
      <c r="E99" s="2">
        <v>132.32</v>
      </c>
      <c r="F99" s="2" t="s">
        <v>103</v>
      </c>
      <c r="G99" s="3">
        <v>3.5400000000000001E-2</v>
      </c>
    </row>
    <row r="100" spans="1:7" x14ac:dyDescent="0.35">
      <c r="A100" s="1">
        <v>45841</v>
      </c>
      <c r="B100" s="2">
        <v>134.36000000000001</v>
      </c>
      <c r="C100" s="2">
        <v>134.36000000000001</v>
      </c>
      <c r="D100" s="2">
        <v>135.62</v>
      </c>
      <c r="E100" s="2">
        <v>132.51</v>
      </c>
      <c r="F100" s="2" t="s">
        <v>104</v>
      </c>
      <c r="G100" s="3">
        <v>1.7000000000000001E-2</v>
      </c>
    </row>
    <row r="101" spans="1:7" x14ac:dyDescent="0.35">
      <c r="A101" s="1">
        <v>45840</v>
      </c>
      <c r="B101" s="2">
        <v>132.12</v>
      </c>
      <c r="C101" s="2">
        <v>131.47</v>
      </c>
      <c r="D101" s="2">
        <v>133.6</v>
      </c>
      <c r="E101" s="2">
        <v>130.19</v>
      </c>
      <c r="F101" s="2" t="s">
        <v>105</v>
      </c>
      <c r="G101" s="3">
        <v>1.0999999999999999E-2</v>
      </c>
    </row>
    <row r="102" spans="1:7" x14ac:dyDescent="0.35">
      <c r="A102" s="1">
        <v>45839</v>
      </c>
      <c r="B102" s="2">
        <v>130.68</v>
      </c>
      <c r="C102" s="2">
        <v>135.27000000000001</v>
      </c>
      <c r="D102" s="2">
        <v>136.32</v>
      </c>
      <c r="E102" s="2">
        <v>128.51</v>
      </c>
      <c r="F102" s="2" t="s">
        <v>106</v>
      </c>
      <c r="G102" s="3">
        <v>-4.1399999999999999E-2</v>
      </c>
    </row>
    <row r="103" spans="1:7" x14ac:dyDescent="0.35">
      <c r="A103" s="1">
        <v>45838</v>
      </c>
      <c r="B103" s="2">
        <v>136.32</v>
      </c>
      <c r="C103" s="2">
        <v>137.79</v>
      </c>
      <c r="D103" s="2">
        <v>138.88</v>
      </c>
      <c r="E103" s="2">
        <v>134.80000000000001</v>
      </c>
      <c r="F103" s="2" t="s">
        <v>107</v>
      </c>
      <c r="G103" s="3">
        <v>4.2700000000000002E-2</v>
      </c>
    </row>
    <row r="104" spans="1:7" x14ac:dyDescent="0.35">
      <c r="A104" s="1">
        <v>45835</v>
      </c>
      <c r="B104" s="2">
        <v>130.74</v>
      </c>
      <c r="C104" s="2">
        <v>144.87</v>
      </c>
      <c r="D104" s="2">
        <v>144.97</v>
      </c>
      <c r="E104" s="2">
        <v>130.54</v>
      </c>
      <c r="F104" s="2" t="s">
        <v>108</v>
      </c>
      <c r="G104" s="3">
        <v>-9.3700000000000006E-2</v>
      </c>
    </row>
    <row r="105" spans="1:7" x14ac:dyDescent="0.35">
      <c r="A105" s="1">
        <v>45834</v>
      </c>
      <c r="B105" s="2">
        <v>144.25</v>
      </c>
      <c r="C105" s="2">
        <v>144.85</v>
      </c>
      <c r="D105" s="2">
        <v>148.21</v>
      </c>
      <c r="E105" s="2">
        <v>142.91</v>
      </c>
      <c r="F105" s="2" t="s">
        <v>109</v>
      </c>
      <c r="G105" s="3">
        <v>9.4000000000000004E-3</v>
      </c>
    </row>
    <row r="106" spans="1:7" x14ac:dyDescent="0.35">
      <c r="A106" s="1">
        <v>45833</v>
      </c>
      <c r="B106" s="2">
        <v>142.9</v>
      </c>
      <c r="C106" s="2">
        <v>144.49</v>
      </c>
      <c r="D106" s="2">
        <v>147.66999999999999</v>
      </c>
      <c r="E106" s="2">
        <v>141.53</v>
      </c>
      <c r="F106" s="2" t="s">
        <v>110</v>
      </c>
      <c r="G106" s="3">
        <v>-2.3E-3</v>
      </c>
    </row>
    <row r="107" spans="1:7" x14ac:dyDescent="0.35">
      <c r="A107" s="1">
        <v>45832</v>
      </c>
      <c r="B107" s="2">
        <v>143.22999999999999</v>
      </c>
      <c r="C107" s="2">
        <v>140.97999999999999</v>
      </c>
      <c r="D107" s="2">
        <v>143.66</v>
      </c>
      <c r="E107" s="2">
        <v>137.80000000000001</v>
      </c>
      <c r="F107" s="2" t="s">
        <v>111</v>
      </c>
      <c r="G107" s="3">
        <v>2.3699999999999999E-2</v>
      </c>
    </row>
    <row r="108" spans="1:7" x14ac:dyDescent="0.35">
      <c r="A108" s="1">
        <v>45831</v>
      </c>
      <c r="B108" s="2">
        <v>139.91999999999999</v>
      </c>
      <c r="C108" s="2">
        <v>138.9</v>
      </c>
      <c r="D108" s="2">
        <v>142.15</v>
      </c>
      <c r="E108" s="2">
        <v>135.96</v>
      </c>
      <c r="F108" s="2" t="s">
        <v>112</v>
      </c>
      <c r="G108" s="3">
        <v>1.9099999999999999E-2</v>
      </c>
    </row>
    <row r="109" spans="1:7" x14ac:dyDescent="0.35">
      <c r="A109" s="1">
        <v>45828</v>
      </c>
      <c r="B109" s="2">
        <v>137.30000000000001</v>
      </c>
      <c r="C109" s="2">
        <v>140.69</v>
      </c>
      <c r="D109" s="2">
        <v>142.24</v>
      </c>
      <c r="E109" s="2">
        <v>136.74</v>
      </c>
      <c r="F109" s="2" t="s">
        <v>113</v>
      </c>
      <c r="G109" s="3">
        <v>-1.9E-2</v>
      </c>
    </row>
    <row r="110" spans="1:7" x14ac:dyDescent="0.35">
      <c r="A110" s="1">
        <v>45826</v>
      </c>
      <c r="B110" s="2">
        <v>139.96</v>
      </c>
      <c r="C110" s="2">
        <v>139.04</v>
      </c>
      <c r="D110" s="2">
        <v>140.36000000000001</v>
      </c>
      <c r="E110" s="2">
        <v>137.49</v>
      </c>
      <c r="F110" s="2" t="s">
        <v>28</v>
      </c>
      <c r="G110" s="3">
        <v>1.2699999999999999E-2</v>
      </c>
    </row>
    <row r="111" spans="1:7" x14ac:dyDescent="0.35">
      <c r="A111" s="1">
        <v>45825</v>
      </c>
      <c r="B111" s="2">
        <v>138.19999999999999</v>
      </c>
      <c r="C111" s="2">
        <v>141.49</v>
      </c>
      <c r="D111" s="2">
        <v>141.69</v>
      </c>
      <c r="E111" s="2">
        <v>136.08000000000001</v>
      </c>
      <c r="F111" s="2" t="s">
        <v>114</v>
      </c>
      <c r="G111" s="3">
        <v>-2.2700000000000001E-2</v>
      </c>
    </row>
    <row r="112" spans="1:7" x14ac:dyDescent="0.35">
      <c r="A112" s="1">
        <v>45824</v>
      </c>
      <c r="B112" s="2">
        <v>141.41</v>
      </c>
      <c r="C112" s="2">
        <v>140.03</v>
      </c>
      <c r="D112" s="2">
        <v>144.86000000000001</v>
      </c>
      <c r="E112" s="2">
        <v>139.81</v>
      </c>
      <c r="F112" s="2" t="s">
        <v>115</v>
      </c>
      <c r="G112" s="3">
        <v>2.92E-2</v>
      </c>
    </row>
    <row r="113" spans="1:7" x14ac:dyDescent="0.35">
      <c r="A113" s="1">
        <v>45821</v>
      </c>
      <c r="B113" s="2">
        <v>137.4</v>
      </c>
      <c r="C113" s="2">
        <v>133.82</v>
      </c>
      <c r="D113" s="2">
        <v>139.99</v>
      </c>
      <c r="E113" s="2">
        <v>133.35</v>
      </c>
      <c r="F113" s="2" t="s">
        <v>116</v>
      </c>
      <c r="G113" s="3">
        <v>1.6299999999999999E-2</v>
      </c>
    </row>
    <row r="114" spans="1:7" x14ac:dyDescent="0.35">
      <c r="A114" s="1">
        <v>45820</v>
      </c>
      <c r="B114" s="2">
        <v>135.19</v>
      </c>
      <c r="C114" s="2">
        <v>136.4</v>
      </c>
      <c r="D114" s="2">
        <v>137.1</v>
      </c>
      <c r="E114" s="2">
        <v>134.63</v>
      </c>
      <c r="F114" s="2" t="s">
        <v>117</v>
      </c>
      <c r="G114" s="3">
        <v>-8.8000000000000005E-3</v>
      </c>
    </row>
    <row r="115" spans="1:7" x14ac:dyDescent="0.35">
      <c r="A115" s="1">
        <v>45819</v>
      </c>
      <c r="B115" s="2">
        <v>136.38999999999999</v>
      </c>
      <c r="C115" s="2">
        <v>133.91999999999999</v>
      </c>
      <c r="D115" s="2">
        <v>140</v>
      </c>
      <c r="E115" s="2">
        <v>132.99</v>
      </c>
      <c r="F115" s="2" t="s">
        <v>118</v>
      </c>
      <c r="G115" s="3">
        <v>2.7E-2</v>
      </c>
    </row>
    <row r="116" spans="1:7" x14ac:dyDescent="0.35">
      <c r="A116" s="1">
        <v>45818</v>
      </c>
      <c r="B116" s="2">
        <v>132.81</v>
      </c>
      <c r="C116" s="2">
        <v>131.02000000000001</v>
      </c>
      <c r="D116" s="2">
        <v>134.07</v>
      </c>
      <c r="E116" s="2">
        <v>129.41</v>
      </c>
      <c r="F116" s="2" t="s">
        <v>119</v>
      </c>
      <c r="G116" s="3">
        <v>5.7000000000000002E-3</v>
      </c>
    </row>
    <row r="117" spans="1:7" x14ac:dyDescent="0.35">
      <c r="A117" s="1">
        <v>45817</v>
      </c>
      <c r="B117" s="2">
        <v>132.06</v>
      </c>
      <c r="C117" s="2">
        <v>127.07</v>
      </c>
      <c r="D117" s="2">
        <v>132.22999999999999</v>
      </c>
      <c r="E117" s="2">
        <v>124.8</v>
      </c>
      <c r="F117" s="2" t="s">
        <v>120</v>
      </c>
      <c r="G117" s="3">
        <v>3.4000000000000002E-2</v>
      </c>
    </row>
    <row r="118" spans="1:7" x14ac:dyDescent="0.35">
      <c r="A118" s="1">
        <v>45814</v>
      </c>
      <c r="B118" s="2">
        <v>127.72</v>
      </c>
      <c r="C118" s="2">
        <v>123.73</v>
      </c>
      <c r="D118" s="2">
        <v>128.13</v>
      </c>
      <c r="E118" s="2">
        <v>121.92</v>
      </c>
      <c r="F118" s="2" t="s">
        <v>121</v>
      </c>
      <c r="G118" s="3">
        <v>6.5100000000000005E-2</v>
      </c>
    </row>
    <row r="119" spans="1:7" x14ac:dyDescent="0.35">
      <c r="A119" s="1">
        <v>45813</v>
      </c>
      <c r="B119" s="2">
        <v>119.91</v>
      </c>
      <c r="C119" s="2">
        <v>129.27000000000001</v>
      </c>
      <c r="D119" s="2">
        <v>132.85</v>
      </c>
      <c r="E119" s="2">
        <v>118.93</v>
      </c>
      <c r="F119" s="2" t="s">
        <v>122</v>
      </c>
      <c r="G119" s="3">
        <v>-7.7700000000000005E-2</v>
      </c>
    </row>
    <row r="120" spans="1:7" x14ac:dyDescent="0.35">
      <c r="A120" s="1">
        <v>45812</v>
      </c>
      <c r="B120" s="2">
        <v>130.01</v>
      </c>
      <c r="C120" s="2">
        <v>132.80000000000001</v>
      </c>
      <c r="D120" s="2">
        <v>132.94999999999999</v>
      </c>
      <c r="E120" s="2">
        <v>125.58</v>
      </c>
      <c r="F120" s="2" t="s">
        <v>107</v>
      </c>
      <c r="G120" s="3">
        <v>-2.3699999999999999E-2</v>
      </c>
    </row>
    <row r="121" spans="1:7" x14ac:dyDescent="0.35">
      <c r="A121" s="1">
        <v>45811</v>
      </c>
      <c r="B121" s="2">
        <v>133.16999999999999</v>
      </c>
      <c r="C121" s="2">
        <v>133.07</v>
      </c>
      <c r="D121" s="2">
        <v>135.28</v>
      </c>
      <c r="E121" s="2">
        <v>130.1</v>
      </c>
      <c r="F121" s="2" t="s">
        <v>123</v>
      </c>
      <c r="G121" s="3">
        <v>8.6E-3</v>
      </c>
    </row>
    <row r="122" spans="1:7" x14ac:dyDescent="0.35">
      <c r="A122" s="1">
        <v>45810</v>
      </c>
      <c r="B122" s="2">
        <v>132.04</v>
      </c>
      <c r="C122" s="2">
        <v>131.43</v>
      </c>
      <c r="D122" s="2">
        <v>134.47999999999999</v>
      </c>
      <c r="E122" s="2">
        <v>128.86000000000001</v>
      </c>
      <c r="F122" s="2" t="s">
        <v>124</v>
      </c>
      <c r="G122" s="3">
        <v>2E-3</v>
      </c>
    </row>
    <row r="123" spans="1:7" x14ac:dyDescent="0.35">
      <c r="A123" s="1">
        <v>45807</v>
      </c>
      <c r="B123" s="2">
        <v>131.78</v>
      </c>
      <c r="C123" s="2">
        <v>123.53</v>
      </c>
      <c r="D123" s="2">
        <v>131.94</v>
      </c>
      <c r="E123" s="2">
        <v>122.75</v>
      </c>
      <c r="F123" s="2" t="s">
        <v>125</v>
      </c>
      <c r="G123" s="3">
        <v>7.7299999999999994E-2</v>
      </c>
    </row>
    <row r="124" spans="1:7" x14ac:dyDescent="0.35">
      <c r="A124" s="1">
        <v>45806</v>
      </c>
      <c r="B124" s="2">
        <v>122.32</v>
      </c>
      <c r="C124" s="2">
        <v>125.35</v>
      </c>
      <c r="D124" s="2">
        <v>126.47</v>
      </c>
      <c r="E124" s="2">
        <v>121.53</v>
      </c>
      <c r="F124" s="2" t="s">
        <v>126</v>
      </c>
      <c r="G124" s="3">
        <v>-1.1599999999999999E-2</v>
      </c>
    </row>
    <row r="125" spans="1:7" x14ac:dyDescent="0.35">
      <c r="A125" s="1">
        <v>45805</v>
      </c>
      <c r="B125" s="2">
        <v>123.76</v>
      </c>
      <c r="C125" s="2">
        <v>124.23</v>
      </c>
      <c r="D125" s="2">
        <v>125.65</v>
      </c>
      <c r="E125" s="2">
        <v>122.91</v>
      </c>
      <c r="F125" s="2" t="s">
        <v>127</v>
      </c>
      <c r="G125" s="3">
        <v>3.0000000000000001E-3</v>
      </c>
    </row>
    <row r="126" spans="1:7" x14ac:dyDescent="0.35">
      <c r="A126" s="1">
        <v>45804</v>
      </c>
      <c r="B126" s="2">
        <v>123.39</v>
      </c>
      <c r="C126" s="2">
        <v>126.82</v>
      </c>
      <c r="D126" s="2">
        <v>127.88</v>
      </c>
      <c r="E126" s="2">
        <v>120.88</v>
      </c>
      <c r="F126" s="2" t="s">
        <v>128</v>
      </c>
      <c r="G126" s="3">
        <v>5.9999999999999995E-4</v>
      </c>
    </row>
    <row r="127" spans="1:7" x14ac:dyDescent="0.35">
      <c r="A127" s="1">
        <v>45800</v>
      </c>
      <c r="B127" s="2">
        <v>123.31</v>
      </c>
      <c r="C127" s="2">
        <v>120.88</v>
      </c>
      <c r="D127" s="2">
        <v>125.54</v>
      </c>
      <c r="E127" s="2">
        <v>120.68</v>
      </c>
      <c r="F127" s="2" t="s">
        <v>129</v>
      </c>
      <c r="G127" s="3">
        <v>8.3000000000000001E-3</v>
      </c>
    </row>
    <row r="128" spans="1:7" x14ac:dyDescent="0.35">
      <c r="A128" s="1">
        <v>45799</v>
      </c>
      <c r="B128" s="2">
        <v>122.29</v>
      </c>
      <c r="C128" s="2">
        <v>121.95</v>
      </c>
      <c r="D128" s="2">
        <v>126.33</v>
      </c>
      <c r="E128" s="2">
        <v>121.38</v>
      </c>
      <c r="F128" s="2" t="s">
        <v>130</v>
      </c>
      <c r="G128" s="3">
        <v>1.4200000000000001E-2</v>
      </c>
    </row>
    <row r="129" spans="1:7" x14ac:dyDescent="0.35">
      <c r="A129" s="1">
        <v>45798</v>
      </c>
      <c r="B129" s="2">
        <v>120.58</v>
      </c>
      <c r="C129" s="2">
        <v>125.16</v>
      </c>
      <c r="D129" s="2">
        <v>127.11</v>
      </c>
      <c r="E129" s="2">
        <v>119.41</v>
      </c>
      <c r="F129" s="2" t="s">
        <v>131</v>
      </c>
      <c r="G129" s="3">
        <v>-3.9899999999999998E-2</v>
      </c>
    </row>
    <row r="130" spans="1:7" x14ac:dyDescent="0.35">
      <c r="A130" s="1">
        <v>45797</v>
      </c>
      <c r="B130" s="2">
        <v>125.59</v>
      </c>
      <c r="C130" s="2">
        <v>127.22</v>
      </c>
      <c r="D130" s="2">
        <v>128.19999999999999</v>
      </c>
      <c r="E130" s="2">
        <v>124.65</v>
      </c>
      <c r="F130" s="2" t="s">
        <v>132</v>
      </c>
      <c r="G130" s="3">
        <v>-5.8999999999999999E-3</v>
      </c>
    </row>
    <row r="131" spans="1:7" x14ac:dyDescent="0.35">
      <c r="A131" s="1">
        <v>45796</v>
      </c>
      <c r="B131" s="2">
        <v>126.33</v>
      </c>
      <c r="C131" s="2">
        <v>124.71</v>
      </c>
      <c r="D131" s="2">
        <v>127.77</v>
      </c>
      <c r="E131" s="2">
        <v>124.32</v>
      </c>
      <c r="F131" s="2" t="s">
        <v>133</v>
      </c>
      <c r="G131" s="3">
        <v>-2.46E-2</v>
      </c>
    </row>
    <row r="132" spans="1:7" x14ac:dyDescent="0.35">
      <c r="A132" s="1">
        <v>45793</v>
      </c>
      <c r="B132" s="2">
        <v>129.52000000000001</v>
      </c>
      <c r="C132" s="2">
        <v>129.22999999999999</v>
      </c>
      <c r="D132" s="2">
        <v>130.33000000000001</v>
      </c>
      <c r="E132" s="2">
        <v>126.76</v>
      </c>
      <c r="F132" s="2" t="s">
        <v>134</v>
      </c>
      <c r="G132" s="3">
        <v>1.09E-2</v>
      </c>
    </row>
    <row r="133" spans="1:7" x14ac:dyDescent="0.35">
      <c r="A133" s="1">
        <v>45792</v>
      </c>
      <c r="B133" s="2">
        <v>128.12</v>
      </c>
      <c r="C133" s="2">
        <v>128.37</v>
      </c>
      <c r="D133" s="2">
        <v>130.19999999999999</v>
      </c>
      <c r="E133" s="2">
        <v>125.74</v>
      </c>
      <c r="F133" s="2" t="s">
        <v>135</v>
      </c>
      <c r="G133" s="3">
        <v>-1.5800000000000002E-2</v>
      </c>
    </row>
    <row r="134" spans="1:7" x14ac:dyDescent="0.35">
      <c r="A134" s="1">
        <v>45791</v>
      </c>
      <c r="B134" s="2">
        <v>130.18</v>
      </c>
      <c r="C134" s="2">
        <v>129.01</v>
      </c>
      <c r="D134" s="2">
        <v>133.49</v>
      </c>
      <c r="E134" s="2">
        <v>127.56</v>
      </c>
      <c r="F134" s="2" t="s">
        <v>136</v>
      </c>
      <c r="G134" s="3">
        <v>1.6199999999999999E-2</v>
      </c>
    </row>
    <row r="135" spans="1:7" x14ac:dyDescent="0.35">
      <c r="A135" s="1">
        <v>45790</v>
      </c>
      <c r="B135" s="2">
        <v>128.1</v>
      </c>
      <c r="C135" s="2">
        <v>119.92</v>
      </c>
      <c r="D135" s="2">
        <v>130.6</v>
      </c>
      <c r="E135" s="2">
        <v>119.31</v>
      </c>
      <c r="F135" s="2" t="s">
        <v>137</v>
      </c>
      <c r="G135" s="3">
        <v>8.14E-2</v>
      </c>
    </row>
    <row r="136" spans="1:7" x14ac:dyDescent="0.35">
      <c r="A136" s="1">
        <v>45789</v>
      </c>
      <c r="B136" s="2">
        <v>118.46</v>
      </c>
      <c r="C136" s="2">
        <v>120.78</v>
      </c>
      <c r="D136" s="2">
        <v>120.93</v>
      </c>
      <c r="E136" s="2">
        <v>115.01</v>
      </c>
      <c r="F136" s="2" t="s">
        <v>138</v>
      </c>
      <c r="G136" s="3">
        <v>9.9000000000000008E-3</v>
      </c>
    </row>
    <row r="137" spans="1:7" x14ac:dyDescent="0.35">
      <c r="A137" s="1">
        <v>45786</v>
      </c>
      <c r="B137" s="2">
        <v>117.3</v>
      </c>
      <c r="C137" s="2">
        <v>118.97</v>
      </c>
      <c r="D137" s="2">
        <v>119.16</v>
      </c>
      <c r="E137" s="2">
        <v>114.9</v>
      </c>
      <c r="F137" s="2" t="s">
        <v>139</v>
      </c>
      <c r="G137" s="3">
        <v>-1.55E-2</v>
      </c>
    </row>
    <row r="138" spans="1:7" x14ac:dyDescent="0.35">
      <c r="A138" s="1">
        <v>45785</v>
      </c>
      <c r="B138" s="2">
        <v>119.15</v>
      </c>
      <c r="C138" s="2">
        <v>112.28</v>
      </c>
      <c r="D138" s="2">
        <v>120.38</v>
      </c>
      <c r="E138" s="2">
        <v>112.07</v>
      </c>
      <c r="F138" s="2" t="s">
        <v>140</v>
      </c>
      <c r="G138" s="3">
        <v>7.85E-2</v>
      </c>
    </row>
    <row r="139" spans="1:7" x14ac:dyDescent="0.35">
      <c r="A139" s="1">
        <v>45784</v>
      </c>
      <c r="B139" s="2">
        <v>110.48</v>
      </c>
      <c r="C139" s="2">
        <v>107.97</v>
      </c>
      <c r="D139" s="2">
        <v>111.85</v>
      </c>
      <c r="E139" s="2">
        <v>107</v>
      </c>
      <c r="F139" s="2" t="s">
        <v>141</v>
      </c>
      <c r="G139" s="3">
        <v>1.49E-2</v>
      </c>
    </row>
    <row r="140" spans="1:7" x14ac:dyDescent="0.35">
      <c r="A140" s="1">
        <v>45783</v>
      </c>
      <c r="B140" s="2">
        <v>108.86</v>
      </c>
      <c r="C140" s="2">
        <v>112.71</v>
      </c>
      <c r="D140" s="2">
        <v>113.91</v>
      </c>
      <c r="E140" s="2">
        <v>105.32</v>
      </c>
      <c r="F140" s="2" t="s">
        <v>142</v>
      </c>
      <c r="G140" s="3">
        <v>-0.1205</v>
      </c>
    </row>
    <row r="141" spans="1:7" x14ac:dyDescent="0.35">
      <c r="A141" s="1">
        <v>45782</v>
      </c>
      <c r="B141" s="2">
        <v>123.77</v>
      </c>
      <c r="C141" s="2">
        <v>123.7</v>
      </c>
      <c r="D141" s="2">
        <v>125.25</v>
      </c>
      <c r="E141" s="2">
        <v>121.36</v>
      </c>
      <c r="F141" s="2" t="s">
        <v>143</v>
      </c>
      <c r="G141" s="3">
        <v>-4.1000000000000003E-3</v>
      </c>
    </row>
    <row r="142" spans="1:7" x14ac:dyDescent="0.35">
      <c r="A142" s="1">
        <v>45779</v>
      </c>
      <c r="B142" s="2">
        <v>124.28</v>
      </c>
      <c r="C142" s="2">
        <v>118.66</v>
      </c>
      <c r="D142" s="2">
        <v>124.42</v>
      </c>
      <c r="E142" s="2">
        <v>118.63</v>
      </c>
      <c r="F142" s="2" t="s">
        <v>144</v>
      </c>
      <c r="G142" s="3">
        <v>6.9500000000000006E-2</v>
      </c>
    </row>
    <row r="143" spans="1:7" x14ac:dyDescent="0.35">
      <c r="A143" s="1">
        <v>45778</v>
      </c>
      <c r="B143" s="2">
        <v>116.2</v>
      </c>
      <c r="C143" s="2">
        <v>120.04</v>
      </c>
      <c r="D143" s="2">
        <v>120.19</v>
      </c>
      <c r="E143" s="2">
        <v>116</v>
      </c>
      <c r="F143" s="2" t="s">
        <v>145</v>
      </c>
      <c r="G143" s="3">
        <v>-1.89E-2</v>
      </c>
    </row>
    <row r="144" spans="1:7" x14ac:dyDescent="0.35">
      <c r="A144" s="1">
        <v>45777</v>
      </c>
      <c r="B144" s="2">
        <v>118.44</v>
      </c>
      <c r="C144" s="2">
        <v>111.61</v>
      </c>
      <c r="D144" s="2">
        <v>118.78</v>
      </c>
      <c r="E144" s="2">
        <v>110.54</v>
      </c>
      <c r="F144" s="2" t="s">
        <v>146</v>
      </c>
      <c r="G144" s="3">
        <v>2.0299999999999999E-2</v>
      </c>
    </row>
    <row r="145" spans="1:7" x14ac:dyDescent="0.35">
      <c r="A145" s="1">
        <v>45776</v>
      </c>
      <c r="B145" s="2">
        <v>116.08</v>
      </c>
      <c r="C145" s="2">
        <v>113.98</v>
      </c>
      <c r="D145" s="2">
        <v>117.23</v>
      </c>
      <c r="E145" s="2">
        <v>113.24</v>
      </c>
      <c r="F145" s="2" t="s">
        <v>147</v>
      </c>
      <c r="G145" s="3">
        <v>1.2500000000000001E-2</v>
      </c>
    </row>
    <row r="146" spans="1:7" x14ac:dyDescent="0.35">
      <c r="A146" s="1">
        <v>45775</v>
      </c>
      <c r="B146" s="2">
        <v>114.65</v>
      </c>
      <c r="C146" s="2">
        <v>113.78</v>
      </c>
      <c r="D146" s="2">
        <v>114.86</v>
      </c>
      <c r="E146" s="2">
        <v>108.87</v>
      </c>
      <c r="F146" s="2" t="s">
        <v>148</v>
      </c>
      <c r="G146" s="3">
        <v>1.66E-2</v>
      </c>
    </row>
    <row r="147" spans="1:7" x14ac:dyDescent="0.35">
      <c r="A147" s="1">
        <v>45772</v>
      </c>
      <c r="B147" s="2">
        <v>112.78</v>
      </c>
      <c r="C147" s="2">
        <v>108.05</v>
      </c>
      <c r="D147" s="2">
        <v>112.88</v>
      </c>
      <c r="E147" s="2">
        <v>106.55</v>
      </c>
      <c r="F147" s="2" t="s">
        <v>149</v>
      </c>
      <c r="G147" s="3">
        <v>4.6399999999999997E-2</v>
      </c>
    </row>
    <row r="148" spans="1:7" x14ac:dyDescent="0.35">
      <c r="A148" s="1">
        <v>45771</v>
      </c>
      <c r="B148" s="2">
        <v>107.78</v>
      </c>
      <c r="C148" s="2">
        <v>101.53</v>
      </c>
      <c r="D148" s="2">
        <v>108</v>
      </c>
      <c r="E148" s="2">
        <v>100.91</v>
      </c>
      <c r="F148" s="2" t="s">
        <v>150</v>
      </c>
      <c r="G148" s="3">
        <v>6.9000000000000006E-2</v>
      </c>
    </row>
    <row r="149" spans="1:7" x14ac:dyDescent="0.35">
      <c r="A149" s="1">
        <v>45770</v>
      </c>
      <c r="B149" s="2">
        <v>100.82</v>
      </c>
      <c r="C149" s="2">
        <v>98.86</v>
      </c>
      <c r="D149" s="2">
        <v>103.76</v>
      </c>
      <c r="E149" s="2">
        <v>97.83</v>
      </c>
      <c r="F149" s="2" t="s">
        <v>151</v>
      </c>
      <c r="G149" s="3">
        <v>7.2700000000000001E-2</v>
      </c>
    </row>
    <row r="150" spans="1:7" x14ac:dyDescent="0.35">
      <c r="A150" s="1">
        <v>45769</v>
      </c>
      <c r="B150" s="2">
        <v>93.99</v>
      </c>
      <c r="C150" s="2">
        <v>93.01</v>
      </c>
      <c r="D150" s="2">
        <v>96.34</v>
      </c>
      <c r="E150" s="2">
        <v>91.35</v>
      </c>
      <c r="F150" s="2" t="s">
        <v>152</v>
      </c>
      <c r="G150" s="3">
        <v>3.5099999999999999E-2</v>
      </c>
    </row>
    <row r="151" spans="1:7" x14ac:dyDescent="0.35">
      <c r="A151" s="1">
        <v>45768</v>
      </c>
      <c r="B151" s="2">
        <v>90.8</v>
      </c>
      <c r="C151" s="2">
        <v>92.84</v>
      </c>
      <c r="D151" s="2">
        <v>96.47</v>
      </c>
      <c r="E151" s="2">
        <v>89.31</v>
      </c>
      <c r="F151" s="2" t="s">
        <v>153</v>
      </c>
      <c r="G151" s="3">
        <v>-3.1800000000000002E-2</v>
      </c>
    </row>
    <row r="152" spans="1:7" x14ac:dyDescent="0.35">
      <c r="A152" s="1">
        <v>45764</v>
      </c>
      <c r="B152" s="2">
        <v>93.78</v>
      </c>
      <c r="C152" s="2">
        <v>94.71</v>
      </c>
      <c r="D152" s="2">
        <v>95.11</v>
      </c>
      <c r="E152" s="2">
        <v>92.27</v>
      </c>
      <c r="F152" s="2" t="s">
        <v>154</v>
      </c>
      <c r="G152" s="3">
        <v>1.15E-2</v>
      </c>
    </row>
    <row r="153" spans="1:7" x14ac:dyDescent="0.35">
      <c r="A153" s="1">
        <v>45763</v>
      </c>
      <c r="B153" s="2">
        <v>92.71</v>
      </c>
      <c r="C153" s="2">
        <v>96.28</v>
      </c>
      <c r="D153" s="2">
        <v>97.3</v>
      </c>
      <c r="E153" s="2">
        <v>89.62</v>
      </c>
      <c r="F153" s="2" t="s">
        <v>155</v>
      </c>
      <c r="G153" s="3">
        <v>-5.7799999999999997E-2</v>
      </c>
    </row>
    <row r="154" spans="1:7" x14ac:dyDescent="0.35">
      <c r="A154" s="1">
        <v>45762</v>
      </c>
      <c r="B154" s="2">
        <v>98.4</v>
      </c>
      <c r="C154" s="2">
        <v>93.53</v>
      </c>
      <c r="D154" s="2">
        <v>98.99</v>
      </c>
      <c r="E154" s="2">
        <v>93.05</v>
      </c>
      <c r="F154" s="2" t="s">
        <v>156</v>
      </c>
      <c r="G154" s="3">
        <v>6.2399999999999997E-2</v>
      </c>
    </row>
    <row r="155" spans="1:7" x14ac:dyDescent="0.35">
      <c r="A155" s="1">
        <v>45761</v>
      </c>
      <c r="B155" s="2">
        <v>92.62</v>
      </c>
      <c r="C155" s="2">
        <v>95.8</v>
      </c>
      <c r="D155" s="2">
        <v>97.33</v>
      </c>
      <c r="E155" s="2">
        <v>91.46</v>
      </c>
      <c r="F155" s="2" t="s">
        <v>157</v>
      </c>
      <c r="G155" s="3">
        <v>4.5999999999999999E-2</v>
      </c>
    </row>
    <row r="156" spans="1:7" x14ac:dyDescent="0.35">
      <c r="A156" s="1">
        <v>45758</v>
      </c>
      <c r="B156" s="2">
        <v>88.55</v>
      </c>
      <c r="C156" s="2">
        <v>87.98</v>
      </c>
      <c r="D156" s="2">
        <v>89.55</v>
      </c>
      <c r="E156" s="2">
        <v>85.47</v>
      </c>
      <c r="F156" s="2" t="s">
        <v>158</v>
      </c>
      <c r="G156" s="3">
        <v>-5.0000000000000001E-4</v>
      </c>
    </row>
    <row r="157" spans="1:7" x14ac:dyDescent="0.35">
      <c r="A157" s="1">
        <v>45757</v>
      </c>
      <c r="B157" s="2">
        <v>88.59</v>
      </c>
      <c r="C157" s="2">
        <v>88.4</v>
      </c>
      <c r="D157" s="2">
        <v>90.78</v>
      </c>
      <c r="E157" s="2">
        <v>84.14</v>
      </c>
      <c r="F157" s="2" t="s">
        <v>159</v>
      </c>
      <c r="G157" s="3">
        <v>-3.7199999999999997E-2</v>
      </c>
    </row>
    <row r="158" spans="1:7" x14ac:dyDescent="0.35">
      <c r="A158" s="1">
        <v>45756</v>
      </c>
      <c r="B158" s="2">
        <v>92.01</v>
      </c>
      <c r="C158" s="2">
        <v>78.19</v>
      </c>
      <c r="D158" s="2">
        <v>93.33</v>
      </c>
      <c r="E158" s="2">
        <v>77.27</v>
      </c>
      <c r="F158" s="2" t="s">
        <v>160</v>
      </c>
      <c r="G158" s="3">
        <v>0.19</v>
      </c>
    </row>
    <row r="159" spans="1:7" x14ac:dyDescent="0.35">
      <c r="A159" s="1">
        <v>45755</v>
      </c>
      <c r="B159" s="2">
        <v>77.319999999999993</v>
      </c>
      <c r="C159" s="2">
        <v>83.29</v>
      </c>
      <c r="D159" s="2">
        <v>86.11</v>
      </c>
      <c r="E159" s="2">
        <v>75.22</v>
      </c>
      <c r="F159" s="2" t="s">
        <v>161</v>
      </c>
      <c r="G159" s="3">
        <v>-6.7000000000000002E-3</v>
      </c>
    </row>
    <row r="160" spans="1:7" x14ac:dyDescent="0.35">
      <c r="A160" s="1">
        <v>45754</v>
      </c>
      <c r="B160" s="2">
        <v>77.84</v>
      </c>
      <c r="C160" s="2">
        <v>66.650000000000006</v>
      </c>
      <c r="D160" s="2">
        <v>81.8</v>
      </c>
      <c r="E160" s="2">
        <v>66.12</v>
      </c>
      <c r="F160" s="2" t="s">
        <v>162</v>
      </c>
      <c r="G160" s="3">
        <v>5.1700000000000003E-2</v>
      </c>
    </row>
    <row r="161" spans="1:7" x14ac:dyDescent="0.35">
      <c r="A161" s="1">
        <v>45751</v>
      </c>
      <c r="B161" s="2">
        <v>74.010000000000005</v>
      </c>
      <c r="C161" s="2">
        <v>80.069999999999993</v>
      </c>
      <c r="D161" s="2">
        <v>80.98</v>
      </c>
      <c r="E161" s="2">
        <v>71.930000000000007</v>
      </c>
      <c r="F161" s="2" t="s">
        <v>163</v>
      </c>
      <c r="G161" s="3">
        <v>-0.1147</v>
      </c>
    </row>
    <row r="162" spans="1:7" x14ac:dyDescent="0.35">
      <c r="A162" s="1">
        <v>45750</v>
      </c>
      <c r="B162" s="2">
        <v>83.6</v>
      </c>
      <c r="C162" s="2">
        <v>81.25</v>
      </c>
      <c r="D162" s="2">
        <v>85.68</v>
      </c>
      <c r="E162" s="2">
        <v>81.010000000000005</v>
      </c>
      <c r="F162" s="2" t="s">
        <v>164</v>
      </c>
      <c r="G162" s="3">
        <v>-4.3999999999999997E-2</v>
      </c>
    </row>
    <row r="163" spans="1:7" x14ac:dyDescent="0.35">
      <c r="A163" s="1">
        <v>45749</v>
      </c>
      <c r="B163" s="2">
        <v>87.45</v>
      </c>
      <c r="C163" s="2">
        <v>82.4</v>
      </c>
      <c r="D163" s="2">
        <v>88.4</v>
      </c>
      <c r="E163" s="2">
        <v>82.3</v>
      </c>
      <c r="F163" s="2" t="s">
        <v>165</v>
      </c>
      <c r="G163" s="3">
        <v>3.27E-2</v>
      </c>
    </row>
    <row r="164" spans="1:7" x14ac:dyDescent="0.35">
      <c r="A164" s="1">
        <v>45748</v>
      </c>
      <c r="B164" s="2">
        <v>84.68</v>
      </c>
      <c r="C164" s="2">
        <v>83.89</v>
      </c>
      <c r="D164" s="2">
        <v>85.28</v>
      </c>
      <c r="E164" s="2">
        <v>81.819999999999993</v>
      </c>
      <c r="F164" s="2" t="s">
        <v>166</v>
      </c>
      <c r="G164" s="3">
        <v>3.3E-3</v>
      </c>
    </row>
    <row r="165" spans="1:7" x14ac:dyDescent="0.35">
      <c r="A165" s="1">
        <v>45747</v>
      </c>
      <c r="B165" s="2">
        <v>84.4</v>
      </c>
      <c r="C165" s="2">
        <v>80</v>
      </c>
      <c r="D165" s="2">
        <v>84.65</v>
      </c>
      <c r="E165" s="2">
        <v>78.75</v>
      </c>
      <c r="F165" s="2" t="s">
        <v>167</v>
      </c>
      <c r="G165" s="3">
        <v>-1.6899999999999998E-2</v>
      </c>
    </row>
    <row r="166" spans="1:7" x14ac:dyDescent="0.35">
      <c r="A166" s="1">
        <v>45744</v>
      </c>
      <c r="B166" s="2">
        <v>85.85</v>
      </c>
      <c r="C166" s="2">
        <v>89.34</v>
      </c>
      <c r="D166" s="2">
        <v>89.38</v>
      </c>
      <c r="E166" s="2">
        <v>84.1</v>
      </c>
      <c r="F166" s="2" t="s">
        <v>168</v>
      </c>
      <c r="G166" s="3">
        <v>-4.7100000000000003E-2</v>
      </c>
    </row>
    <row r="167" spans="1:7" x14ac:dyDescent="0.35">
      <c r="A167" s="1">
        <v>45743</v>
      </c>
      <c r="B167" s="2">
        <v>90.09</v>
      </c>
      <c r="C167" s="2">
        <v>91.01</v>
      </c>
      <c r="D167" s="2">
        <v>93.65</v>
      </c>
      <c r="E167" s="2">
        <v>89.67</v>
      </c>
      <c r="F167" s="2" t="s">
        <v>169</v>
      </c>
      <c r="G167" s="3">
        <v>-2.3699999999999999E-2</v>
      </c>
    </row>
    <row r="168" spans="1:7" x14ac:dyDescent="0.35">
      <c r="A168" s="1">
        <v>45742</v>
      </c>
      <c r="B168" s="2">
        <v>92.28</v>
      </c>
      <c r="C168" s="2">
        <v>96.29</v>
      </c>
      <c r="D168" s="2">
        <v>97.3</v>
      </c>
      <c r="E168" s="2">
        <v>90.82</v>
      </c>
      <c r="F168" s="2" t="s">
        <v>170</v>
      </c>
      <c r="G168" s="3">
        <v>-4.3700000000000003E-2</v>
      </c>
    </row>
    <row r="169" spans="1:7" x14ac:dyDescent="0.35">
      <c r="A169" s="1">
        <v>45741</v>
      </c>
      <c r="B169" s="2">
        <v>96.5</v>
      </c>
      <c r="C169" s="2">
        <v>97.22</v>
      </c>
      <c r="D169" s="2">
        <v>98.17</v>
      </c>
      <c r="E169" s="2">
        <v>95.08</v>
      </c>
      <c r="F169" s="2" t="s">
        <v>171</v>
      </c>
      <c r="G169" s="3">
        <v>-2.5999999999999999E-3</v>
      </c>
    </row>
    <row r="170" spans="1:7" x14ac:dyDescent="0.35">
      <c r="A170" s="1">
        <v>45740</v>
      </c>
      <c r="B170" s="2">
        <v>96.75</v>
      </c>
      <c r="C170" s="2">
        <v>93.4</v>
      </c>
      <c r="D170" s="2">
        <v>97.39</v>
      </c>
      <c r="E170" s="2">
        <v>92.28</v>
      </c>
      <c r="F170" s="2" t="s">
        <v>172</v>
      </c>
      <c r="G170" s="3">
        <v>6.3700000000000007E-2</v>
      </c>
    </row>
    <row r="171" spans="1:7" x14ac:dyDescent="0.35">
      <c r="A171" s="1">
        <v>45737</v>
      </c>
      <c r="B171" s="2">
        <v>90.96</v>
      </c>
      <c r="C171" s="2">
        <v>85.85</v>
      </c>
      <c r="D171" s="2">
        <v>91.07</v>
      </c>
      <c r="E171" s="2">
        <v>84.46</v>
      </c>
      <c r="F171" s="2" t="s">
        <v>173</v>
      </c>
      <c r="G171" s="3">
        <v>4.0899999999999999E-2</v>
      </c>
    </row>
    <row r="172" spans="1:7" x14ac:dyDescent="0.35">
      <c r="A172" s="1">
        <v>45736</v>
      </c>
      <c r="B172" s="2">
        <v>87.39</v>
      </c>
      <c r="C172" s="2">
        <v>85.54</v>
      </c>
      <c r="D172" s="2">
        <v>89.8</v>
      </c>
      <c r="E172" s="2">
        <v>85.12</v>
      </c>
      <c r="F172" s="2" t="s">
        <v>174</v>
      </c>
      <c r="G172" s="3">
        <v>1.4999999999999999E-2</v>
      </c>
    </row>
    <row r="173" spans="1:7" x14ac:dyDescent="0.35">
      <c r="A173" s="1">
        <v>45735</v>
      </c>
      <c r="B173" s="2">
        <v>86.1</v>
      </c>
      <c r="C173" s="2">
        <v>84.55</v>
      </c>
      <c r="D173" s="2">
        <v>87.99</v>
      </c>
      <c r="E173" s="2">
        <v>82.86</v>
      </c>
      <c r="F173" s="2" t="s">
        <v>175</v>
      </c>
      <c r="G173" s="3">
        <v>2.63E-2</v>
      </c>
    </row>
    <row r="174" spans="1:7" x14ac:dyDescent="0.35">
      <c r="A174" s="1">
        <v>45734</v>
      </c>
      <c r="B174" s="2">
        <v>83.89</v>
      </c>
      <c r="C174" s="2">
        <v>85.78</v>
      </c>
      <c r="D174" s="2">
        <v>86.17</v>
      </c>
      <c r="E174" s="2">
        <v>81.8</v>
      </c>
      <c r="F174" s="2" t="s">
        <v>176</v>
      </c>
      <c r="G174" s="3">
        <v>-3.9600000000000003E-2</v>
      </c>
    </row>
    <row r="175" spans="1:7" x14ac:dyDescent="0.35">
      <c r="A175" s="1">
        <v>45733</v>
      </c>
      <c r="B175" s="2">
        <v>87.35</v>
      </c>
      <c r="C175" s="2">
        <v>88.44</v>
      </c>
      <c r="D175" s="2">
        <v>88.82</v>
      </c>
      <c r="E175" s="2">
        <v>84.5</v>
      </c>
      <c r="F175" s="2" t="s">
        <v>177</v>
      </c>
      <c r="G175" s="3">
        <v>1.29E-2</v>
      </c>
    </row>
    <row r="176" spans="1:7" x14ac:dyDescent="0.35">
      <c r="A176" s="1">
        <v>45730</v>
      </c>
      <c r="B176" s="2">
        <v>86.24</v>
      </c>
      <c r="C176" s="2">
        <v>82.97</v>
      </c>
      <c r="D176" s="2">
        <v>87.27</v>
      </c>
      <c r="E176" s="2">
        <v>82.16</v>
      </c>
      <c r="F176" s="2" t="s">
        <v>178</v>
      </c>
      <c r="G176" s="3">
        <v>8.3099999999999993E-2</v>
      </c>
    </row>
    <row r="177" spans="1:7" x14ac:dyDescent="0.35">
      <c r="A177" s="1">
        <v>45729</v>
      </c>
      <c r="B177" s="2">
        <v>79.62</v>
      </c>
      <c r="C177" s="2">
        <v>82.85</v>
      </c>
      <c r="D177" s="2">
        <v>83.74</v>
      </c>
      <c r="E177" s="2">
        <v>78.319999999999993</v>
      </c>
      <c r="F177" s="2" t="s">
        <v>179</v>
      </c>
      <c r="G177" s="3">
        <v>-4.82E-2</v>
      </c>
    </row>
    <row r="178" spans="1:7" x14ac:dyDescent="0.35">
      <c r="A178" s="1">
        <v>45728</v>
      </c>
      <c r="B178" s="2">
        <v>83.65</v>
      </c>
      <c r="C178" s="2">
        <v>83.48</v>
      </c>
      <c r="D178" s="2">
        <v>84.55</v>
      </c>
      <c r="E178" s="2">
        <v>79.86</v>
      </c>
      <c r="F178" s="2" t="s">
        <v>180</v>
      </c>
      <c r="G178" s="3">
        <v>7.17E-2</v>
      </c>
    </row>
    <row r="179" spans="1:7" x14ac:dyDescent="0.35">
      <c r="A179" s="1">
        <v>45727</v>
      </c>
      <c r="B179" s="2">
        <v>78.05</v>
      </c>
      <c r="C179" s="2">
        <v>75.790000000000006</v>
      </c>
      <c r="D179" s="2">
        <v>80.75</v>
      </c>
      <c r="E179" s="2">
        <v>75.53</v>
      </c>
      <c r="F179" s="2" t="s">
        <v>181</v>
      </c>
      <c r="G179" s="3">
        <v>2.1899999999999999E-2</v>
      </c>
    </row>
    <row r="180" spans="1:7" x14ac:dyDescent="0.35">
      <c r="A180" s="1">
        <v>45726</v>
      </c>
      <c r="B180" s="2">
        <v>76.38</v>
      </c>
      <c r="C180" s="2">
        <v>82</v>
      </c>
      <c r="D180" s="2">
        <v>82.69</v>
      </c>
      <c r="E180" s="2">
        <v>74.569999999999993</v>
      </c>
      <c r="F180" s="2" t="s">
        <v>182</v>
      </c>
      <c r="G180" s="3">
        <v>-0.10050000000000001</v>
      </c>
    </row>
    <row r="181" spans="1:7" x14ac:dyDescent="0.35">
      <c r="A181" s="1">
        <v>45723</v>
      </c>
      <c r="B181" s="2">
        <v>84.91</v>
      </c>
      <c r="C181" s="2">
        <v>80.03</v>
      </c>
      <c r="D181" s="2">
        <v>85.16</v>
      </c>
      <c r="E181" s="2">
        <v>79.150000000000006</v>
      </c>
      <c r="F181" s="2" t="s">
        <v>183</v>
      </c>
      <c r="G181" s="3">
        <v>5.5300000000000002E-2</v>
      </c>
    </row>
    <row r="182" spans="1:7" x14ac:dyDescent="0.35">
      <c r="A182" s="1">
        <v>45722</v>
      </c>
      <c r="B182" s="2">
        <v>80.459999999999994</v>
      </c>
      <c r="C182" s="2">
        <v>87.5</v>
      </c>
      <c r="D182" s="2">
        <v>88.34</v>
      </c>
      <c r="E182" s="2">
        <v>80.010000000000005</v>
      </c>
      <c r="F182" s="2" t="s">
        <v>184</v>
      </c>
      <c r="G182" s="3">
        <v>-0.10730000000000001</v>
      </c>
    </row>
    <row r="183" spans="1:7" x14ac:dyDescent="0.35">
      <c r="A183" s="1">
        <v>45721</v>
      </c>
      <c r="B183" s="2">
        <v>90.13</v>
      </c>
      <c r="C183" s="2">
        <v>86.35</v>
      </c>
      <c r="D183" s="2">
        <v>90.3</v>
      </c>
      <c r="E183" s="2">
        <v>82.5</v>
      </c>
      <c r="F183" s="2" t="s">
        <v>185</v>
      </c>
      <c r="G183" s="3">
        <v>6.7900000000000002E-2</v>
      </c>
    </row>
    <row r="184" spans="1:7" x14ac:dyDescent="0.35">
      <c r="A184" s="1">
        <v>45720</v>
      </c>
      <c r="B184" s="2">
        <v>84.4</v>
      </c>
      <c r="C184" s="2">
        <v>80.16</v>
      </c>
      <c r="D184" s="2">
        <v>88.5</v>
      </c>
      <c r="E184" s="2">
        <v>79.3</v>
      </c>
      <c r="F184" s="2" t="s">
        <v>186</v>
      </c>
      <c r="G184" s="3">
        <v>1.17E-2</v>
      </c>
    </row>
    <row r="185" spans="1:7" x14ac:dyDescent="0.35">
      <c r="A185" s="1">
        <v>45719</v>
      </c>
      <c r="B185" s="2">
        <v>83.42</v>
      </c>
      <c r="C185" s="2">
        <v>88.55</v>
      </c>
      <c r="D185" s="2">
        <v>90.48</v>
      </c>
      <c r="E185" s="2">
        <v>82.53</v>
      </c>
      <c r="F185" s="2" t="s">
        <v>187</v>
      </c>
      <c r="G185" s="3">
        <v>-1.77E-2</v>
      </c>
    </row>
    <row r="186" spans="1:7" x14ac:dyDescent="0.35">
      <c r="A186" s="1">
        <v>45716</v>
      </c>
      <c r="B186" s="2">
        <v>84.92</v>
      </c>
      <c r="C186" s="2">
        <v>79.98</v>
      </c>
      <c r="D186" s="2">
        <v>85.18</v>
      </c>
      <c r="E186" s="2">
        <v>78.58</v>
      </c>
      <c r="F186" s="2" t="s">
        <v>188</v>
      </c>
      <c r="G186" s="3">
        <v>1.8E-3</v>
      </c>
    </row>
    <row r="187" spans="1:7" x14ac:dyDescent="0.35">
      <c r="A187" s="1">
        <v>45715</v>
      </c>
      <c r="B187" s="2">
        <v>84.77</v>
      </c>
      <c r="C187" s="2">
        <v>91.91</v>
      </c>
      <c r="D187" s="2">
        <v>93.62</v>
      </c>
      <c r="E187" s="2">
        <v>84.17</v>
      </c>
      <c r="F187" s="2" t="s">
        <v>189</v>
      </c>
      <c r="G187" s="3">
        <v>-5.0799999999999998E-2</v>
      </c>
    </row>
    <row r="188" spans="1:7" x14ac:dyDescent="0.35">
      <c r="A188" s="1">
        <v>45714</v>
      </c>
      <c r="B188" s="2">
        <v>89.31</v>
      </c>
      <c r="C188" s="2">
        <v>89.16</v>
      </c>
      <c r="D188" s="2">
        <v>91.69</v>
      </c>
      <c r="E188" s="2">
        <v>87.59</v>
      </c>
      <c r="F188" s="2" t="s">
        <v>190</v>
      </c>
      <c r="G188" s="3">
        <v>1.67E-2</v>
      </c>
    </row>
    <row r="189" spans="1:7" x14ac:dyDescent="0.35">
      <c r="A189" s="1">
        <v>45713</v>
      </c>
      <c r="B189" s="2">
        <v>87.84</v>
      </c>
      <c r="C189" s="2">
        <v>90.65</v>
      </c>
      <c r="D189" s="2">
        <v>91.7</v>
      </c>
      <c r="E189" s="2">
        <v>85.25</v>
      </c>
      <c r="F189" s="2" t="s">
        <v>191</v>
      </c>
      <c r="G189" s="3">
        <v>-3.1300000000000001E-2</v>
      </c>
    </row>
    <row r="190" spans="1:7" x14ac:dyDescent="0.35">
      <c r="A190" s="1">
        <v>45712</v>
      </c>
      <c r="B190" s="2">
        <v>90.68</v>
      </c>
      <c r="C190" s="2">
        <v>95.88</v>
      </c>
      <c r="D190" s="2">
        <v>99.01</v>
      </c>
      <c r="E190" s="2">
        <v>89.3</v>
      </c>
      <c r="F190" s="2" t="s">
        <v>192</v>
      </c>
      <c r="G190" s="3">
        <v>-0.1053</v>
      </c>
    </row>
    <row r="191" spans="1:7" x14ac:dyDescent="0.35">
      <c r="A191" s="1">
        <v>45709</v>
      </c>
      <c r="B191" s="2">
        <v>101.35</v>
      </c>
      <c r="C191" s="2">
        <v>107.68</v>
      </c>
      <c r="D191" s="2">
        <v>109.07</v>
      </c>
      <c r="E191" s="2">
        <v>100</v>
      </c>
      <c r="F191" s="2" t="s">
        <v>193</v>
      </c>
      <c r="G191" s="3">
        <v>-4.6300000000000001E-2</v>
      </c>
    </row>
    <row r="192" spans="1:7" x14ac:dyDescent="0.35">
      <c r="A192" s="1">
        <v>45708</v>
      </c>
      <c r="B192" s="2">
        <v>106.27</v>
      </c>
      <c r="C192" s="2">
        <v>102.91</v>
      </c>
      <c r="D192" s="2">
        <v>107.4</v>
      </c>
      <c r="E192" s="2">
        <v>95.8</v>
      </c>
      <c r="F192" s="2" t="s">
        <v>194</v>
      </c>
      <c r="G192" s="3">
        <v>-5.1700000000000003E-2</v>
      </c>
    </row>
    <row r="193" spans="1:7" x14ac:dyDescent="0.35">
      <c r="A193" s="1">
        <v>45707</v>
      </c>
      <c r="B193" s="2">
        <v>112.06</v>
      </c>
      <c r="C193" s="2">
        <v>123.86</v>
      </c>
      <c r="D193" s="2">
        <v>125.41</v>
      </c>
      <c r="E193" s="2">
        <v>108.56</v>
      </c>
      <c r="F193" s="2" t="s">
        <v>195</v>
      </c>
      <c r="G193" s="3">
        <v>-0.1008</v>
      </c>
    </row>
    <row r="194" spans="1:7" x14ac:dyDescent="0.35">
      <c r="A194" s="1">
        <v>45706</v>
      </c>
      <c r="B194" s="2">
        <v>124.62</v>
      </c>
      <c r="C194" s="2">
        <v>120.94</v>
      </c>
      <c r="D194" s="2">
        <v>125</v>
      </c>
      <c r="E194" s="2">
        <v>118.43</v>
      </c>
      <c r="F194" s="2" t="s">
        <v>196</v>
      </c>
      <c r="G194" s="3">
        <v>4.58E-2</v>
      </c>
    </row>
    <row r="195" spans="1:7" x14ac:dyDescent="0.35">
      <c r="A195" s="1">
        <v>45702</v>
      </c>
      <c r="B195" s="2">
        <v>119.16</v>
      </c>
      <c r="C195" s="2">
        <v>117.9</v>
      </c>
      <c r="D195" s="2">
        <v>120.67</v>
      </c>
      <c r="E195" s="2">
        <v>116.8</v>
      </c>
      <c r="F195" s="2" t="s">
        <v>197</v>
      </c>
      <c r="G195" s="3">
        <v>1.06E-2</v>
      </c>
    </row>
    <row r="196" spans="1:7" x14ac:dyDescent="0.35">
      <c r="A196" s="1">
        <v>45701</v>
      </c>
      <c r="B196" s="2">
        <v>117.91</v>
      </c>
      <c r="C196" s="2">
        <v>117.31</v>
      </c>
      <c r="D196" s="2">
        <v>118.39</v>
      </c>
      <c r="E196" s="2">
        <v>115.15</v>
      </c>
      <c r="F196" s="2" t="s">
        <v>198</v>
      </c>
      <c r="G196" s="3">
        <v>4.4000000000000003E-3</v>
      </c>
    </row>
    <row r="197" spans="1:7" x14ac:dyDescent="0.35">
      <c r="A197" s="1">
        <v>45700</v>
      </c>
      <c r="B197" s="2">
        <v>117.39</v>
      </c>
      <c r="C197" s="2">
        <v>110.29</v>
      </c>
      <c r="D197" s="2">
        <v>117.59</v>
      </c>
      <c r="E197" s="2">
        <v>110</v>
      </c>
      <c r="F197" s="2" t="s">
        <v>199</v>
      </c>
      <c r="G197" s="3">
        <v>4.24E-2</v>
      </c>
    </row>
    <row r="198" spans="1:7" x14ac:dyDescent="0.35">
      <c r="A198" s="1">
        <v>45699</v>
      </c>
      <c r="B198" s="2">
        <v>112.62</v>
      </c>
      <c r="C198" s="2">
        <v>116.5</v>
      </c>
      <c r="D198" s="2">
        <v>118.66</v>
      </c>
      <c r="E198" s="2">
        <v>112.1</v>
      </c>
      <c r="F198" s="2" t="s">
        <v>200</v>
      </c>
      <c r="G198" s="3">
        <v>-3.4500000000000003E-2</v>
      </c>
    </row>
    <row r="199" spans="1:7" x14ac:dyDescent="0.35">
      <c r="A199" s="1">
        <v>45698</v>
      </c>
      <c r="B199" s="2">
        <v>116.65</v>
      </c>
      <c r="C199" s="2">
        <v>112.03</v>
      </c>
      <c r="D199" s="2">
        <v>116.76</v>
      </c>
      <c r="E199" s="2">
        <v>108.72</v>
      </c>
      <c r="F199" s="2" t="s">
        <v>201</v>
      </c>
      <c r="G199" s="3">
        <v>5.2299999999999999E-2</v>
      </c>
    </row>
    <row r="200" spans="1:7" x14ac:dyDescent="0.35">
      <c r="A200" s="1">
        <v>45695</v>
      </c>
      <c r="B200" s="2">
        <v>110.85</v>
      </c>
      <c r="C200" s="2">
        <v>111.66</v>
      </c>
      <c r="D200" s="2">
        <v>116.3</v>
      </c>
      <c r="E200" s="2">
        <v>110.45</v>
      </c>
      <c r="F200" s="2" t="s">
        <v>202</v>
      </c>
      <c r="G200" s="3">
        <v>-3.8999999999999998E-3</v>
      </c>
    </row>
    <row r="201" spans="1:7" x14ac:dyDescent="0.35">
      <c r="A201" s="1">
        <v>45694</v>
      </c>
      <c r="B201" s="2">
        <v>111.28</v>
      </c>
      <c r="C201" s="2">
        <v>101.09</v>
      </c>
      <c r="D201" s="2">
        <v>111.54</v>
      </c>
      <c r="E201" s="2">
        <v>100.26</v>
      </c>
      <c r="F201" s="2" t="s">
        <v>203</v>
      </c>
      <c r="G201" s="3">
        <v>9.7900000000000001E-2</v>
      </c>
    </row>
    <row r="202" spans="1:7" x14ac:dyDescent="0.35">
      <c r="A202" s="1">
        <v>45693</v>
      </c>
      <c r="B202" s="2">
        <v>101.36</v>
      </c>
      <c r="C202" s="2">
        <v>101.78</v>
      </c>
      <c r="D202" s="2">
        <v>103.57</v>
      </c>
      <c r="E202" s="2">
        <v>99.32</v>
      </c>
      <c r="F202" s="2" t="s">
        <v>204</v>
      </c>
      <c r="G202" s="3">
        <v>-2.3800000000000002E-2</v>
      </c>
    </row>
    <row r="203" spans="1:7" x14ac:dyDescent="0.35">
      <c r="A203" s="1">
        <v>45692</v>
      </c>
      <c r="B203" s="2">
        <v>103.83</v>
      </c>
      <c r="C203" s="2">
        <v>102.8</v>
      </c>
      <c r="D203" s="2">
        <v>106.91</v>
      </c>
      <c r="E203" s="2">
        <v>100.51</v>
      </c>
      <c r="F203" s="2" t="s">
        <v>205</v>
      </c>
      <c r="G203" s="3">
        <v>0.2399</v>
      </c>
    </row>
    <row r="204" spans="1:7" x14ac:dyDescent="0.35">
      <c r="A204" s="1">
        <v>45691</v>
      </c>
      <c r="B204" s="2">
        <v>83.74</v>
      </c>
      <c r="C204" s="2">
        <v>80.13</v>
      </c>
      <c r="D204" s="2">
        <v>84.25</v>
      </c>
      <c r="E204" s="2">
        <v>78.47</v>
      </c>
      <c r="F204" s="2" t="s">
        <v>206</v>
      </c>
      <c r="G204" s="3">
        <v>1.52E-2</v>
      </c>
    </row>
    <row r="205" spans="1:7" x14ac:dyDescent="0.35">
      <c r="A205" s="1">
        <v>45688</v>
      </c>
      <c r="B205" s="2">
        <v>82.49</v>
      </c>
      <c r="C205" s="2">
        <v>81</v>
      </c>
      <c r="D205" s="2">
        <v>85.22</v>
      </c>
      <c r="E205" s="2">
        <v>80.87</v>
      </c>
      <c r="F205" s="2" t="s">
        <v>207</v>
      </c>
      <c r="G205" s="3">
        <v>1.5599999999999999E-2</v>
      </c>
    </row>
    <row r="206" spans="1:7" x14ac:dyDescent="0.35">
      <c r="A206" s="1">
        <v>45687</v>
      </c>
      <c r="B206" s="2">
        <v>81.22</v>
      </c>
      <c r="C206" s="2">
        <v>80.02</v>
      </c>
      <c r="D206" s="2">
        <v>81.83</v>
      </c>
      <c r="E206" s="2">
        <v>79.38</v>
      </c>
      <c r="F206" s="2" t="s">
        <v>208</v>
      </c>
      <c r="G206" s="3">
        <v>1.83E-2</v>
      </c>
    </row>
    <row r="207" spans="1:7" x14ac:dyDescent="0.35">
      <c r="A207" s="1">
        <v>45686</v>
      </c>
      <c r="B207" s="2">
        <v>79.760000000000005</v>
      </c>
      <c r="C207" s="2">
        <v>79.95</v>
      </c>
      <c r="D207" s="2">
        <v>80.819999999999993</v>
      </c>
      <c r="E207" s="2">
        <v>77.81</v>
      </c>
      <c r="F207" s="2" t="s">
        <v>34</v>
      </c>
      <c r="G207" s="3">
        <v>-5.8999999999999999E-3</v>
      </c>
    </row>
    <row r="208" spans="1:7" x14ac:dyDescent="0.35">
      <c r="A208" s="1">
        <v>45685</v>
      </c>
      <c r="B208" s="2">
        <v>80.23</v>
      </c>
      <c r="C208" s="2">
        <v>75.540000000000006</v>
      </c>
      <c r="D208" s="2">
        <v>80.739999999999995</v>
      </c>
      <c r="E208" s="2">
        <v>74.040000000000006</v>
      </c>
      <c r="F208" s="2" t="s">
        <v>209</v>
      </c>
      <c r="G208" s="3">
        <v>6.3500000000000001E-2</v>
      </c>
    </row>
    <row r="209" spans="1:7" x14ac:dyDescent="0.35">
      <c r="A209" s="1">
        <v>45684</v>
      </c>
      <c r="B209" s="2">
        <v>75.44</v>
      </c>
      <c r="C209" s="2">
        <v>74.069999999999993</v>
      </c>
      <c r="D209" s="2">
        <v>76.72</v>
      </c>
      <c r="E209" s="2">
        <v>72.67</v>
      </c>
      <c r="F209" s="2" t="s">
        <v>210</v>
      </c>
      <c r="G209" s="3">
        <v>-4.48E-2</v>
      </c>
    </row>
    <row r="210" spans="1:7" x14ac:dyDescent="0.35">
      <c r="A210" s="1">
        <v>45681</v>
      </c>
      <c r="B210" s="2">
        <v>78.98</v>
      </c>
      <c r="C210" s="2">
        <v>79.05</v>
      </c>
      <c r="D210" s="2">
        <v>82.24</v>
      </c>
      <c r="E210" s="2">
        <v>78.44</v>
      </c>
      <c r="F210" s="2" t="s">
        <v>211</v>
      </c>
      <c r="G210" s="3">
        <v>0</v>
      </c>
    </row>
    <row r="211" spans="1:7" x14ac:dyDescent="0.35">
      <c r="A211" s="1">
        <v>45680</v>
      </c>
      <c r="B211" s="2">
        <v>78.98</v>
      </c>
      <c r="C211" s="2">
        <v>76.040000000000006</v>
      </c>
      <c r="D211" s="2">
        <v>79</v>
      </c>
      <c r="E211" s="2">
        <v>75.84</v>
      </c>
      <c r="F211" s="2" t="s">
        <v>212</v>
      </c>
      <c r="G211" s="3">
        <v>2.7400000000000001E-2</v>
      </c>
    </row>
    <row r="212" spans="1:7" x14ac:dyDescent="0.35">
      <c r="A212" s="1">
        <v>45679</v>
      </c>
      <c r="B212" s="2">
        <v>76.87</v>
      </c>
      <c r="C212" s="2">
        <v>74.5</v>
      </c>
      <c r="D212" s="2">
        <v>77.16</v>
      </c>
      <c r="E212" s="2">
        <v>73.8</v>
      </c>
      <c r="F212" s="2" t="s">
        <v>213</v>
      </c>
      <c r="G212" s="3">
        <v>5.1999999999999998E-2</v>
      </c>
    </row>
    <row r="213" spans="1:7" x14ac:dyDescent="0.35">
      <c r="A213" s="1">
        <v>45678</v>
      </c>
      <c r="B213" s="2">
        <v>73.069999999999993</v>
      </c>
      <c r="C213" s="2">
        <v>73.239999999999995</v>
      </c>
      <c r="D213" s="2">
        <v>73.64</v>
      </c>
      <c r="E213" s="2">
        <v>70.599999999999994</v>
      </c>
      <c r="F213" s="2" t="s">
        <v>214</v>
      </c>
      <c r="G213" s="3">
        <v>1.8100000000000002E-2</v>
      </c>
    </row>
    <row r="214" spans="1:7" x14ac:dyDescent="0.35">
      <c r="A214" s="1">
        <v>45674</v>
      </c>
      <c r="B214" s="2">
        <v>71.77</v>
      </c>
      <c r="C214" s="2">
        <v>70.900000000000006</v>
      </c>
      <c r="D214" s="2">
        <v>72.34</v>
      </c>
      <c r="E214" s="2">
        <v>69.95</v>
      </c>
      <c r="F214" s="2" t="s">
        <v>215</v>
      </c>
      <c r="G214" s="3">
        <v>3.6499999999999998E-2</v>
      </c>
    </row>
    <row r="215" spans="1:7" x14ac:dyDescent="0.35">
      <c r="A215" s="1">
        <v>45673</v>
      </c>
      <c r="B215" s="2">
        <v>69.239999999999995</v>
      </c>
      <c r="C215" s="2">
        <v>69.08</v>
      </c>
      <c r="D215" s="2">
        <v>71.430000000000007</v>
      </c>
      <c r="E215" s="2">
        <v>68.36</v>
      </c>
      <c r="F215" s="2" t="s">
        <v>216</v>
      </c>
      <c r="G215" s="3">
        <v>1.61E-2</v>
      </c>
    </row>
    <row r="216" spans="1:7" x14ac:dyDescent="0.35">
      <c r="A216" s="1">
        <v>45672</v>
      </c>
      <c r="B216" s="2">
        <v>68.14</v>
      </c>
      <c r="C216" s="2">
        <v>68.55</v>
      </c>
      <c r="D216" s="2">
        <v>68.849999999999994</v>
      </c>
      <c r="E216" s="2">
        <v>67.08</v>
      </c>
      <c r="F216" s="2" t="s">
        <v>217</v>
      </c>
      <c r="G216" s="3">
        <v>3.3799999999999997E-2</v>
      </c>
    </row>
    <row r="217" spans="1:7" x14ac:dyDescent="0.35">
      <c r="A217" s="1">
        <v>45671</v>
      </c>
      <c r="B217" s="2">
        <v>65.91</v>
      </c>
      <c r="C217" s="2">
        <v>67.180000000000007</v>
      </c>
      <c r="D217" s="2">
        <v>68.23</v>
      </c>
      <c r="E217" s="2">
        <v>65.19</v>
      </c>
      <c r="F217" s="2" t="s">
        <v>218</v>
      </c>
      <c r="G217" s="3">
        <v>1.43E-2</v>
      </c>
    </row>
    <row r="218" spans="1:7" x14ac:dyDescent="0.35">
      <c r="A218" s="1">
        <v>45670</v>
      </c>
      <c r="B218" s="2">
        <v>64.98</v>
      </c>
      <c r="C218" s="2">
        <v>64.290000000000006</v>
      </c>
      <c r="D218" s="2">
        <v>65.680000000000007</v>
      </c>
      <c r="E218" s="2">
        <v>63.4</v>
      </c>
      <c r="F218" s="2" t="s">
        <v>219</v>
      </c>
      <c r="G218" s="3">
        <v>-3.39E-2</v>
      </c>
    </row>
    <row r="219" spans="1:7" x14ac:dyDescent="0.35">
      <c r="A219" s="1">
        <v>45667</v>
      </c>
      <c r="B219" s="2">
        <v>67.260000000000005</v>
      </c>
      <c r="C219" s="2">
        <v>66.010000000000005</v>
      </c>
      <c r="D219" s="2">
        <v>68.2</v>
      </c>
      <c r="E219" s="2">
        <v>65.040000000000006</v>
      </c>
      <c r="F219" s="2" t="s">
        <v>220</v>
      </c>
      <c r="G219" s="3">
        <v>-1.4200000000000001E-2</v>
      </c>
    </row>
    <row r="220" spans="1:7" x14ac:dyDescent="0.35">
      <c r="A220" s="1">
        <v>45665</v>
      </c>
      <c r="B220" s="2">
        <v>68.23</v>
      </c>
      <c r="C220" s="2">
        <v>68.12</v>
      </c>
      <c r="D220" s="2">
        <v>69.53</v>
      </c>
      <c r="E220" s="2">
        <v>66.510000000000005</v>
      </c>
      <c r="F220" s="2" t="s">
        <v>221</v>
      </c>
      <c r="G220" s="3">
        <v>-2.5100000000000001E-2</v>
      </c>
    </row>
    <row r="221" spans="1:7" x14ac:dyDescent="0.35">
      <c r="A221" s="1">
        <v>45664</v>
      </c>
      <c r="B221" s="2">
        <v>69.989999999999995</v>
      </c>
      <c r="C221" s="2">
        <v>75.2</v>
      </c>
      <c r="D221" s="2">
        <v>75.39</v>
      </c>
      <c r="E221" s="2">
        <v>69.75</v>
      </c>
      <c r="F221" s="2" t="s">
        <v>222</v>
      </c>
      <c r="G221" s="3">
        <v>-7.8100000000000003E-2</v>
      </c>
    </row>
    <row r="222" spans="1:7" x14ac:dyDescent="0.35">
      <c r="A222" s="1">
        <v>45663</v>
      </c>
      <c r="B222" s="2">
        <v>75.92</v>
      </c>
      <c r="C222" s="2">
        <v>78.69</v>
      </c>
      <c r="D222" s="2">
        <v>80.06</v>
      </c>
      <c r="E222" s="2">
        <v>74.61</v>
      </c>
      <c r="F222" s="2" t="s">
        <v>223</v>
      </c>
      <c r="G222" s="3">
        <v>-4.9700000000000001E-2</v>
      </c>
    </row>
    <row r="223" spans="1:7" x14ac:dyDescent="0.35">
      <c r="A223" s="1">
        <v>45660</v>
      </c>
      <c r="B223" s="2">
        <v>79.89</v>
      </c>
      <c r="C223" s="2">
        <v>75.39</v>
      </c>
      <c r="D223" s="2">
        <v>79.98</v>
      </c>
      <c r="E223" s="2">
        <v>75.19</v>
      </c>
      <c r="F223" s="2" t="s">
        <v>224</v>
      </c>
      <c r="G223" s="3">
        <v>6.25E-2</v>
      </c>
    </row>
    <row r="224" spans="1:7" x14ac:dyDescent="0.35">
      <c r="A224" s="1">
        <v>45659</v>
      </c>
      <c r="B224" s="2">
        <v>75.19</v>
      </c>
      <c r="C224" s="2">
        <v>76.2</v>
      </c>
      <c r="D224" s="2">
        <v>76.53</v>
      </c>
      <c r="E224" s="2">
        <v>72.42</v>
      </c>
      <c r="F224" s="2" t="s">
        <v>225</v>
      </c>
      <c r="G224" s="3">
        <v>-5.7999999999999996E-3</v>
      </c>
    </row>
  </sheetData>
  <conditionalFormatting sqref="B2:B2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36"/>
  <sheetViews>
    <sheetView topLeftCell="A224" workbookViewId="0">
      <selection activeCell="B225" sqref="B225:C225"/>
    </sheetView>
  </sheetViews>
  <sheetFormatPr defaultRowHeight="14.5" x14ac:dyDescent="0.35"/>
  <cols>
    <col min="1" max="1" width="12.08984375" customWidth="1"/>
    <col min="2" max="2" width="16.36328125" customWidth="1"/>
    <col min="3" max="3" width="10.1796875" customWidth="1"/>
    <col min="4" max="4" width="10.90625" customWidth="1"/>
    <col min="8" max="8" width="9.453125" customWidth="1"/>
    <col min="9" max="9" width="10.54296875" customWidth="1"/>
  </cols>
  <sheetData>
    <row r="1" spans="1:9" ht="34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226</v>
      </c>
      <c r="I1" s="5" t="s">
        <v>227</v>
      </c>
    </row>
    <row r="2" spans="1:9" x14ac:dyDescent="0.35">
      <c r="A2" s="7">
        <v>45660</v>
      </c>
      <c r="B2" s="6">
        <v>79.89</v>
      </c>
      <c r="C2" s="6">
        <v>75.39</v>
      </c>
      <c r="D2" s="6">
        <v>79.98</v>
      </c>
      <c r="E2" s="6">
        <v>75.19</v>
      </c>
      <c r="F2" s="6" t="s">
        <v>224</v>
      </c>
      <c r="G2" s="6">
        <v>6.25E-2</v>
      </c>
      <c r="H2" s="6">
        <v>6.0632445104014977E-2</v>
      </c>
      <c r="I2" s="13">
        <v>6.063244510401498</v>
      </c>
    </row>
    <row r="3" spans="1:9" x14ac:dyDescent="0.35">
      <c r="A3" s="7">
        <v>45663</v>
      </c>
      <c r="B3" s="6">
        <v>75.92</v>
      </c>
      <c r="C3" s="6">
        <v>78.69</v>
      </c>
      <c r="D3" s="6">
        <v>80.06</v>
      </c>
      <c r="E3" s="6">
        <v>74.61</v>
      </c>
      <c r="F3" s="6" t="s">
        <v>223</v>
      </c>
      <c r="G3" s="6">
        <v>-4.9700000000000001E-2</v>
      </c>
      <c r="H3" s="6">
        <v>-5.097053419227817E-2</v>
      </c>
      <c r="I3" s="13">
        <v>-5.0970534192278167</v>
      </c>
    </row>
    <row r="4" spans="1:9" x14ac:dyDescent="0.35">
      <c r="A4" s="7">
        <v>45664</v>
      </c>
      <c r="B4" s="6">
        <v>69.989999999999995</v>
      </c>
      <c r="C4" s="6">
        <v>75.2</v>
      </c>
      <c r="D4" s="6">
        <v>75.39</v>
      </c>
      <c r="E4" s="6">
        <v>69.75</v>
      </c>
      <c r="F4" s="6" t="s">
        <v>222</v>
      </c>
      <c r="G4" s="6">
        <v>-7.8100000000000003E-2</v>
      </c>
      <c r="H4" s="6">
        <v>-8.1327779600224276E-2</v>
      </c>
      <c r="I4" s="13">
        <v>-8.1327779600224268</v>
      </c>
    </row>
    <row r="5" spans="1:9" x14ac:dyDescent="0.35">
      <c r="A5" s="7">
        <v>45665</v>
      </c>
      <c r="B5" s="6">
        <v>68.23</v>
      </c>
      <c r="C5" s="6">
        <v>68.12</v>
      </c>
      <c r="D5" s="6">
        <v>69.53</v>
      </c>
      <c r="E5" s="6">
        <v>66.510000000000005</v>
      </c>
      <c r="F5" s="6" t="s">
        <v>221</v>
      </c>
      <c r="G5" s="6">
        <v>-2.5100000000000001E-2</v>
      </c>
      <c r="H5" s="6">
        <v>-2.5468023874115901E-2</v>
      </c>
      <c r="I5" s="13">
        <v>-2.546802387411589</v>
      </c>
    </row>
    <row r="6" spans="1:9" x14ac:dyDescent="0.35">
      <c r="A6" s="7">
        <v>45667</v>
      </c>
      <c r="B6" s="6">
        <v>67.260000000000005</v>
      </c>
      <c r="C6" s="6">
        <v>66.010000000000005</v>
      </c>
      <c r="D6" s="6">
        <v>68.2</v>
      </c>
      <c r="E6" s="6">
        <v>65.040000000000006</v>
      </c>
      <c r="F6" s="6" t="s">
        <v>220</v>
      </c>
      <c r="G6" s="6">
        <v>-1.4200000000000001E-2</v>
      </c>
      <c r="H6" s="6">
        <v>-1.431864451520873E-2</v>
      </c>
      <c r="I6" s="13">
        <v>-1.4318644515208729</v>
      </c>
    </row>
    <row r="7" spans="1:9" x14ac:dyDescent="0.35">
      <c r="A7" s="7">
        <v>45670</v>
      </c>
      <c r="B7" s="6">
        <v>64.98</v>
      </c>
      <c r="C7" s="6">
        <v>64.290000000000006</v>
      </c>
      <c r="D7" s="6">
        <v>65.680000000000007</v>
      </c>
      <c r="E7" s="6">
        <v>63.4</v>
      </c>
      <c r="F7" s="6" t="s">
        <v>219</v>
      </c>
      <c r="G7" s="6">
        <v>-3.39E-2</v>
      </c>
      <c r="H7" s="6">
        <v>-3.4486176071169321E-2</v>
      </c>
      <c r="I7" s="13">
        <v>-3.4486176071169319</v>
      </c>
    </row>
    <row r="8" spans="1:9" x14ac:dyDescent="0.35">
      <c r="A8" s="7">
        <v>45671</v>
      </c>
      <c r="B8" s="6">
        <v>65.91</v>
      </c>
      <c r="C8" s="6">
        <v>67.180000000000007</v>
      </c>
      <c r="D8" s="6">
        <v>68.23</v>
      </c>
      <c r="E8" s="6">
        <v>65.19</v>
      </c>
      <c r="F8" s="6" t="s">
        <v>218</v>
      </c>
      <c r="G8" s="6">
        <v>1.43E-2</v>
      </c>
      <c r="H8" s="6">
        <v>1.421064482367426E-2</v>
      </c>
      <c r="I8" s="13">
        <v>1.4210644823674261</v>
      </c>
    </row>
    <row r="9" spans="1:9" x14ac:dyDescent="0.35">
      <c r="A9" s="7">
        <v>45672</v>
      </c>
      <c r="B9" s="6">
        <v>68.14</v>
      </c>
      <c r="C9" s="6">
        <v>68.55</v>
      </c>
      <c r="D9" s="6">
        <v>68.849999999999994</v>
      </c>
      <c r="E9" s="6">
        <v>67.08</v>
      </c>
      <c r="F9" s="6" t="s">
        <v>217</v>
      </c>
      <c r="G9" s="6">
        <v>3.3799999999999997E-2</v>
      </c>
      <c r="H9" s="6">
        <v>3.3274237168191959E-2</v>
      </c>
      <c r="I9" s="13">
        <v>3.327423716819196</v>
      </c>
    </row>
    <row r="10" spans="1:9" x14ac:dyDescent="0.35">
      <c r="A10" s="7">
        <v>45673</v>
      </c>
      <c r="B10" s="6">
        <v>69.239999999999995</v>
      </c>
      <c r="C10" s="6">
        <v>69.08</v>
      </c>
      <c r="D10" s="6">
        <v>71.430000000000007</v>
      </c>
      <c r="E10" s="6">
        <v>68.36</v>
      </c>
      <c r="F10" s="6" t="s">
        <v>216</v>
      </c>
      <c r="G10" s="6">
        <v>1.61E-2</v>
      </c>
      <c r="H10" s="6">
        <v>1.6014318075187842E-2</v>
      </c>
      <c r="I10" s="13">
        <v>1.6014318075187839</v>
      </c>
    </row>
    <row r="11" spans="1:9" x14ac:dyDescent="0.35">
      <c r="A11" s="7">
        <v>45674</v>
      </c>
      <c r="B11" s="6">
        <v>71.77</v>
      </c>
      <c r="C11" s="6">
        <v>70.900000000000006</v>
      </c>
      <c r="D11" s="6">
        <v>72.34</v>
      </c>
      <c r="E11" s="6">
        <v>69.95</v>
      </c>
      <c r="F11" s="6" t="s">
        <v>215</v>
      </c>
      <c r="G11" s="6">
        <v>3.6499999999999998E-2</v>
      </c>
      <c r="H11" s="6">
        <v>3.5887831133972113E-2</v>
      </c>
      <c r="I11" s="13">
        <v>3.588783113397211</v>
      </c>
    </row>
    <row r="12" spans="1:9" x14ac:dyDescent="0.35">
      <c r="A12" s="7">
        <v>45678</v>
      </c>
      <c r="B12" s="6">
        <v>73.069999999999993</v>
      </c>
      <c r="C12" s="6">
        <v>73.239999999999995</v>
      </c>
      <c r="D12" s="6">
        <v>73.64</v>
      </c>
      <c r="E12" s="6">
        <v>70.599999999999994</v>
      </c>
      <c r="F12" s="6" t="s">
        <v>214</v>
      </c>
      <c r="G12" s="6">
        <v>1.8100000000000002E-2</v>
      </c>
      <c r="H12" s="6">
        <v>1.7951324361145791E-2</v>
      </c>
      <c r="I12" s="13">
        <v>1.7951324361145791</v>
      </c>
    </row>
    <row r="13" spans="1:9" x14ac:dyDescent="0.35">
      <c r="A13" s="7">
        <v>45679</v>
      </c>
      <c r="B13" s="6">
        <v>76.87</v>
      </c>
      <c r="C13" s="6">
        <v>74.5</v>
      </c>
      <c r="D13" s="6">
        <v>77.16</v>
      </c>
      <c r="E13" s="6">
        <v>73.8</v>
      </c>
      <c r="F13" s="6" t="s">
        <v>213</v>
      </c>
      <c r="G13" s="6">
        <v>5.1999999999999998E-2</v>
      </c>
      <c r="H13" s="6">
        <v>5.0697797557914398E-2</v>
      </c>
      <c r="I13" s="13">
        <v>5.0697797557914406</v>
      </c>
    </row>
    <row r="14" spans="1:9" x14ac:dyDescent="0.35">
      <c r="A14" s="7">
        <v>45680</v>
      </c>
      <c r="B14" s="6">
        <v>78.98</v>
      </c>
      <c r="C14" s="6">
        <v>76.040000000000006</v>
      </c>
      <c r="D14" s="6">
        <v>79</v>
      </c>
      <c r="E14" s="6">
        <v>75.84</v>
      </c>
      <c r="F14" s="6" t="s">
        <v>212</v>
      </c>
      <c r="G14" s="6">
        <v>2.7400000000000001E-2</v>
      </c>
      <c r="H14" s="6">
        <v>2.7078972497462831E-2</v>
      </c>
      <c r="I14" s="13">
        <v>2.7078972497462832</v>
      </c>
    </row>
    <row r="15" spans="1:9" x14ac:dyDescent="0.35">
      <c r="A15" s="7">
        <v>45681</v>
      </c>
      <c r="B15" s="6">
        <v>78.98</v>
      </c>
      <c r="C15" s="6">
        <v>79.05</v>
      </c>
      <c r="D15" s="6">
        <v>82.24</v>
      </c>
      <c r="E15" s="6">
        <v>78.44</v>
      </c>
      <c r="F15" s="6" t="s">
        <v>211</v>
      </c>
      <c r="G15" s="6">
        <v>0</v>
      </c>
      <c r="H15" s="6">
        <v>0</v>
      </c>
      <c r="I15" s="13">
        <v>0</v>
      </c>
    </row>
    <row r="16" spans="1:9" x14ac:dyDescent="0.35">
      <c r="A16" s="7">
        <v>45684</v>
      </c>
      <c r="B16" s="6">
        <v>75.44</v>
      </c>
      <c r="C16" s="6">
        <v>74.069999999999993</v>
      </c>
      <c r="D16" s="6">
        <v>76.72</v>
      </c>
      <c r="E16" s="6">
        <v>72.67</v>
      </c>
      <c r="F16" s="6" t="s">
        <v>210</v>
      </c>
      <c r="G16" s="6">
        <v>-4.48E-2</v>
      </c>
      <c r="H16" s="6">
        <v>-4.5857017533301417E-2</v>
      </c>
      <c r="I16" s="13">
        <v>-4.5857017533301416</v>
      </c>
    </row>
    <row r="17" spans="1:9" x14ac:dyDescent="0.35">
      <c r="A17" s="7">
        <v>45685</v>
      </c>
      <c r="B17" s="6">
        <v>80.23</v>
      </c>
      <c r="C17" s="6">
        <v>75.540000000000006</v>
      </c>
      <c r="D17" s="6">
        <v>80.739999999999995</v>
      </c>
      <c r="E17" s="6">
        <v>74.040000000000006</v>
      </c>
      <c r="F17" s="6" t="s">
        <v>209</v>
      </c>
      <c r="G17" s="6">
        <v>6.3500000000000001E-2</v>
      </c>
      <c r="H17" s="6">
        <v>6.15598714403627E-2</v>
      </c>
      <c r="I17" s="13">
        <v>6.1559871440362697</v>
      </c>
    </row>
    <row r="18" spans="1:9" x14ac:dyDescent="0.35">
      <c r="A18" s="7">
        <v>45686</v>
      </c>
      <c r="B18" s="6">
        <v>79.760000000000005</v>
      </c>
      <c r="C18" s="6">
        <v>79.95</v>
      </c>
      <c r="D18" s="6">
        <v>80.819999999999993</v>
      </c>
      <c r="E18" s="6">
        <v>77.81</v>
      </c>
      <c r="F18" s="6" t="s">
        <v>34</v>
      </c>
      <c r="G18" s="6">
        <v>-5.8999999999999999E-3</v>
      </c>
      <c r="H18" s="6">
        <v>-5.8753841119816679E-3</v>
      </c>
      <c r="I18" s="13">
        <v>-0.58753841119816674</v>
      </c>
    </row>
    <row r="19" spans="1:9" x14ac:dyDescent="0.35">
      <c r="A19" s="7">
        <v>45687</v>
      </c>
      <c r="B19" s="6">
        <v>81.22</v>
      </c>
      <c r="C19" s="6">
        <v>80.02</v>
      </c>
      <c r="D19" s="6">
        <v>81.83</v>
      </c>
      <c r="E19" s="6">
        <v>79.38</v>
      </c>
      <c r="F19" s="6" t="s">
        <v>208</v>
      </c>
      <c r="G19" s="6">
        <v>1.83E-2</v>
      </c>
      <c r="H19" s="6">
        <v>1.8139396604568821E-2</v>
      </c>
      <c r="I19" s="13">
        <v>1.813939660456882</v>
      </c>
    </row>
    <row r="20" spans="1:9" x14ac:dyDescent="0.35">
      <c r="A20" s="7">
        <v>45688</v>
      </c>
      <c r="B20" s="6">
        <v>82.49</v>
      </c>
      <c r="C20" s="6">
        <v>81</v>
      </c>
      <c r="D20" s="6">
        <v>85.22</v>
      </c>
      <c r="E20" s="6">
        <v>80.87</v>
      </c>
      <c r="F20" s="6" t="s">
        <v>207</v>
      </c>
      <c r="G20" s="6">
        <v>1.5599999999999999E-2</v>
      </c>
      <c r="H20" s="6">
        <v>1.5515551614488509E-2</v>
      </c>
      <c r="I20" s="13">
        <v>1.551555161448851</v>
      </c>
    </row>
    <row r="21" spans="1:9" x14ac:dyDescent="0.35">
      <c r="A21" s="7">
        <v>45691</v>
      </c>
      <c r="B21" s="6">
        <v>83.74</v>
      </c>
      <c r="C21" s="6">
        <v>80.13</v>
      </c>
      <c r="D21" s="6">
        <v>84.25</v>
      </c>
      <c r="E21" s="6">
        <v>78.47</v>
      </c>
      <c r="F21" s="6" t="s">
        <v>206</v>
      </c>
      <c r="G21" s="6">
        <v>1.52E-2</v>
      </c>
      <c r="H21" s="6">
        <v>1.503968671835699E-2</v>
      </c>
      <c r="I21" s="13">
        <v>1.503968671835699</v>
      </c>
    </row>
    <row r="22" spans="1:9" x14ac:dyDescent="0.35">
      <c r="A22" s="7">
        <v>45692</v>
      </c>
      <c r="B22" s="6">
        <v>103.83</v>
      </c>
      <c r="C22" s="6">
        <v>102.8</v>
      </c>
      <c r="D22" s="6">
        <v>106.91</v>
      </c>
      <c r="E22" s="6">
        <v>100.51</v>
      </c>
      <c r="F22" s="6" t="s">
        <v>205</v>
      </c>
      <c r="G22" s="6">
        <v>0.2399</v>
      </c>
      <c r="H22" s="6">
        <v>0.21503818572436539</v>
      </c>
      <c r="I22" s="13">
        <v>21.50381857243654</v>
      </c>
    </row>
    <row r="23" spans="1:9" x14ac:dyDescent="0.35">
      <c r="A23" s="7">
        <v>45693</v>
      </c>
      <c r="B23" s="6">
        <v>101.36</v>
      </c>
      <c r="C23" s="6">
        <v>101.78</v>
      </c>
      <c r="D23" s="6">
        <v>103.57</v>
      </c>
      <c r="E23" s="6">
        <v>99.32</v>
      </c>
      <c r="F23" s="6" t="s">
        <v>204</v>
      </c>
      <c r="G23" s="6">
        <v>-2.3800000000000002E-2</v>
      </c>
      <c r="H23" s="6">
        <v>-2.4076410302478899E-2</v>
      </c>
      <c r="I23" s="13">
        <v>-2.4076410302478899</v>
      </c>
    </row>
    <row r="24" spans="1:9" x14ac:dyDescent="0.35">
      <c r="A24" s="7">
        <v>45694</v>
      </c>
      <c r="B24" s="6">
        <v>111.28</v>
      </c>
      <c r="C24" s="6">
        <v>101.09</v>
      </c>
      <c r="D24" s="6">
        <v>111.54</v>
      </c>
      <c r="E24" s="6">
        <v>100.26</v>
      </c>
      <c r="F24" s="6" t="s">
        <v>203</v>
      </c>
      <c r="G24" s="6">
        <v>9.7900000000000001E-2</v>
      </c>
      <c r="H24" s="6">
        <v>9.337101160230378E-2</v>
      </c>
      <c r="I24" s="13">
        <v>9.3371011602303788</v>
      </c>
    </row>
    <row r="25" spans="1:9" x14ac:dyDescent="0.35">
      <c r="A25" s="7">
        <v>45695</v>
      </c>
      <c r="B25" s="6">
        <v>110.85</v>
      </c>
      <c r="C25" s="6">
        <v>111.66</v>
      </c>
      <c r="D25" s="6">
        <v>116.3</v>
      </c>
      <c r="E25" s="6">
        <v>110.45</v>
      </c>
      <c r="F25" s="6" t="s">
        <v>202</v>
      </c>
      <c r="G25" s="6">
        <v>-3.8999999999999998E-3</v>
      </c>
      <c r="H25" s="6">
        <v>-3.8716115528670482E-3</v>
      </c>
      <c r="I25" s="13">
        <v>-0.38716115528670481</v>
      </c>
    </row>
    <row r="26" spans="1:9" x14ac:dyDescent="0.35">
      <c r="A26" s="7">
        <v>45698</v>
      </c>
      <c r="B26" s="6">
        <v>116.65</v>
      </c>
      <c r="C26" s="6">
        <v>112.03</v>
      </c>
      <c r="D26" s="6">
        <v>116.76</v>
      </c>
      <c r="E26" s="6">
        <v>108.72</v>
      </c>
      <c r="F26" s="6" t="s">
        <v>201</v>
      </c>
      <c r="G26" s="6">
        <v>5.2299999999999999E-2</v>
      </c>
      <c r="H26" s="6">
        <v>5.1000062405118667E-2</v>
      </c>
      <c r="I26" s="13">
        <v>5.1000062405118669</v>
      </c>
    </row>
    <row r="27" spans="1:9" x14ac:dyDescent="0.35">
      <c r="A27" s="7">
        <v>45699</v>
      </c>
      <c r="B27" s="6">
        <v>112.62</v>
      </c>
      <c r="C27" s="6">
        <v>116.5</v>
      </c>
      <c r="D27" s="6">
        <v>118.66</v>
      </c>
      <c r="E27" s="6">
        <v>112.1</v>
      </c>
      <c r="F27" s="6" t="s">
        <v>200</v>
      </c>
      <c r="G27" s="6">
        <v>-3.4500000000000003E-2</v>
      </c>
      <c r="H27" s="6">
        <v>-3.5158678640966577E-2</v>
      </c>
      <c r="I27" s="13">
        <v>-3.5158678640966579</v>
      </c>
    </row>
    <row r="28" spans="1:9" x14ac:dyDescent="0.35">
      <c r="A28" s="7">
        <v>45700</v>
      </c>
      <c r="B28" s="6">
        <v>117.39</v>
      </c>
      <c r="C28" s="6">
        <v>110.29</v>
      </c>
      <c r="D28" s="6">
        <v>117.59</v>
      </c>
      <c r="E28" s="6">
        <v>110</v>
      </c>
      <c r="F28" s="6" t="s">
        <v>199</v>
      </c>
      <c r="G28" s="6">
        <v>4.24E-2</v>
      </c>
      <c r="H28" s="6">
        <v>4.1482405063958248E-2</v>
      </c>
      <c r="I28" s="13">
        <v>4.1482405063958252</v>
      </c>
    </row>
    <row r="29" spans="1:9" x14ac:dyDescent="0.35">
      <c r="A29" s="7">
        <v>45701</v>
      </c>
      <c r="B29" s="6">
        <v>117.91</v>
      </c>
      <c r="C29" s="6">
        <v>117.31</v>
      </c>
      <c r="D29" s="6">
        <v>118.39</v>
      </c>
      <c r="E29" s="6">
        <v>115.15</v>
      </c>
      <c r="F29" s="6" t="s">
        <v>198</v>
      </c>
      <c r="G29" s="6">
        <v>4.4000000000000003E-3</v>
      </c>
      <c r="H29" s="6">
        <v>4.4198966981510643E-3</v>
      </c>
      <c r="I29" s="13">
        <v>0.44198966981510651</v>
      </c>
    </row>
    <row r="30" spans="1:9" x14ac:dyDescent="0.35">
      <c r="A30" s="7">
        <v>45702</v>
      </c>
      <c r="B30" s="6">
        <v>119.16</v>
      </c>
      <c r="C30" s="6">
        <v>117.9</v>
      </c>
      <c r="D30" s="6">
        <v>120.67</v>
      </c>
      <c r="E30" s="6">
        <v>116.8</v>
      </c>
      <c r="F30" s="6" t="s">
        <v>197</v>
      </c>
      <c r="G30" s="6">
        <v>1.06E-2</v>
      </c>
      <c r="H30" s="6">
        <v>1.054550625649954E-2</v>
      </c>
      <c r="I30" s="13">
        <v>1.0545506256499539</v>
      </c>
    </row>
    <row r="31" spans="1:9" x14ac:dyDescent="0.35">
      <c r="A31" s="7">
        <v>45706</v>
      </c>
      <c r="B31" s="6">
        <v>124.62</v>
      </c>
      <c r="C31" s="6">
        <v>120.94</v>
      </c>
      <c r="D31" s="6">
        <v>125</v>
      </c>
      <c r="E31" s="6">
        <v>118.43</v>
      </c>
      <c r="F31" s="6" t="s">
        <v>196</v>
      </c>
      <c r="G31" s="6">
        <v>4.58E-2</v>
      </c>
      <c r="H31" s="6">
        <v>4.4801979270994378E-2</v>
      </c>
      <c r="I31" s="13">
        <v>4.4801979270994376</v>
      </c>
    </row>
    <row r="32" spans="1:9" x14ac:dyDescent="0.35">
      <c r="A32" s="7">
        <v>45707</v>
      </c>
      <c r="B32" s="6">
        <v>112.06</v>
      </c>
      <c r="C32" s="6">
        <v>123.86</v>
      </c>
      <c r="D32" s="6">
        <v>125.41</v>
      </c>
      <c r="E32" s="6">
        <v>108.56</v>
      </c>
      <c r="F32" s="6" t="s">
        <v>195</v>
      </c>
      <c r="G32" s="6">
        <v>-0.1008</v>
      </c>
      <c r="H32" s="6">
        <v>-0.10623466497893751</v>
      </c>
      <c r="I32" s="13">
        <v>-10.623466497893739</v>
      </c>
    </row>
    <row r="33" spans="1:9" x14ac:dyDescent="0.35">
      <c r="A33" s="7">
        <v>45708</v>
      </c>
      <c r="B33" s="6">
        <v>106.27</v>
      </c>
      <c r="C33" s="6">
        <v>102.91</v>
      </c>
      <c r="D33" s="6">
        <v>107.4</v>
      </c>
      <c r="E33" s="6">
        <v>95.8</v>
      </c>
      <c r="F33" s="6" t="s">
        <v>194</v>
      </c>
      <c r="G33" s="6">
        <v>-5.1700000000000003E-2</v>
      </c>
      <c r="H33" s="6">
        <v>-5.3051416752534747E-2</v>
      </c>
      <c r="I33" s="13">
        <v>-5.3051416752534752</v>
      </c>
    </row>
    <row r="34" spans="1:9" x14ac:dyDescent="0.35">
      <c r="A34" s="7">
        <v>45709</v>
      </c>
      <c r="B34" s="6">
        <v>101.35</v>
      </c>
      <c r="C34" s="6">
        <v>107.68</v>
      </c>
      <c r="D34" s="6">
        <v>109.07</v>
      </c>
      <c r="E34" s="6">
        <v>100</v>
      </c>
      <c r="F34" s="6" t="s">
        <v>193</v>
      </c>
      <c r="G34" s="6">
        <v>-4.6300000000000001E-2</v>
      </c>
      <c r="H34" s="6">
        <v>-4.7403152486594713E-2</v>
      </c>
      <c r="I34" s="13">
        <v>-4.7403152486594724</v>
      </c>
    </row>
    <row r="35" spans="1:9" x14ac:dyDescent="0.35">
      <c r="A35" s="7">
        <v>45712</v>
      </c>
      <c r="B35" s="6">
        <v>90.68</v>
      </c>
      <c r="C35" s="6">
        <v>95.88</v>
      </c>
      <c r="D35" s="6">
        <v>99.01</v>
      </c>
      <c r="E35" s="6">
        <v>89.3</v>
      </c>
      <c r="F35" s="6" t="s">
        <v>192</v>
      </c>
      <c r="G35" s="6">
        <v>-0.1053</v>
      </c>
      <c r="H35" s="6">
        <v>-0.1112430472586807</v>
      </c>
      <c r="I35" s="13">
        <v>-11.12430472586807</v>
      </c>
    </row>
    <row r="36" spans="1:9" x14ac:dyDescent="0.35">
      <c r="A36" s="7">
        <v>45713</v>
      </c>
      <c r="B36" s="6">
        <v>87.84</v>
      </c>
      <c r="C36" s="6">
        <v>90.65</v>
      </c>
      <c r="D36" s="6">
        <v>91.7</v>
      </c>
      <c r="E36" s="6">
        <v>85.25</v>
      </c>
      <c r="F36" s="6" t="s">
        <v>191</v>
      </c>
      <c r="G36" s="6">
        <v>-3.1300000000000001E-2</v>
      </c>
      <c r="H36" s="6">
        <v>-3.1819847878107828E-2</v>
      </c>
      <c r="I36" s="13">
        <v>-3.1819847878107832</v>
      </c>
    </row>
    <row r="37" spans="1:9" x14ac:dyDescent="0.35">
      <c r="A37" s="7">
        <v>45714</v>
      </c>
      <c r="B37" s="6">
        <v>89.31</v>
      </c>
      <c r="C37" s="6">
        <v>89.16</v>
      </c>
      <c r="D37" s="6">
        <v>91.69</v>
      </c>
      <c r="E37" s="6">
        <v>87.59</v>
      </c>
      <c r="F37" s="6" t="s">
        <v>190</v>
      </c>
      <c r="G37" s="6">
        <v>1.67E-2</v>
      </c>
      <c r="H37" s="6">
        <v>1.659648593457418E-2</v>
      </c>
      <c r="I37" s="13">
        <v>1.6596485934574181</v>
      </c>
    </row>
    <row r="38" spans="1:9" x14ac:dyDescent="0.35">
      <c r="A38" s="7">
        <v>45715</v>
      </c>
      <c r="B38" s="6">
        <v>84.77</v>
      </c>
      <c r="C38" s="6">
        <v>91.91</v>
      </c>
      <c r="D38" s="6">
        <v>93.62</v>
      </c>
      <c r="E38" s="6">
        <v>84.17</v>
      </c>
      <c r="F38" s="6" t="s">
        <v>189</v>
      </c>
      <c r="G38" s="6">
        <v>-5.0799999999999998E-2</v>
      </c>
      <c r="H38" s="6">
        <v>-5.2171757075480621E-2</v>
      </c>
      <c r="I38" s="13">
        <v>-5.217175707548062</v>
      </c>
    </row>
    <row r="39" spans="1:9" x14ac:dyDescent="0.35">
      <c r="A39" s="7">
        <v>45716</v>
      </c>
      <c r="B39" s="6">
        <v>84.92</v>
      </c>
      <c r="C39" s="6">
        <v>79.98</v>
      </c>
      <c r="D39" s="6">
        <v>85.18</v>
      </c>
      <c r="E39" s="6">
        <v>78.58</v>
      </c>
      <c r="F39" s="6" t="s">
        <v>188</v>
      </c>
      <c r="G39" s="6">
        <v>1.8E-3</v>
      </c>
      <c r="H39" s="6">
        <v>1.7679302147413181E-3</v>
      </c>
      <c r="I39" s="13">
        <v>0.17679302147413181</v>
      </c>
    </row>
    <row r="40" spans="1:9" x14ac:dyDescent="0.35">
      <c r="A40" s="7">
        <v>45719</v>
      </c>
      <c r="B40" s="6">
        <v>83.42</v>
      </c>
      <c r="C40" s="6">
        <v>88.55</v>
      </c>
      <c r="D40" s="6">
        <v>90.48</v>
      </c>
      <c r="E40" s="6">
        <v>82.53</v>
      </c>
      <c r="F40" s="6" t="s">
        <v>187</v>
      </c>
      <c r="G40" s="6">
        <v>-1.77E-2</v>
      </c>
      <c r="H40" s="6">
        <v>-1.7821548066256139E-2</v>
      </c>
      <c r="I40" s="13">
        <v>-1.7821548066256141</v>
      </c>
    </row>
    <row r="41" spans="1:9" x14ac:dyDescent="0.35">
      <c r="A41" s="7">
        <v>45720</v>
      </c>
      <c r="B41" s="6">
        <v>84.4</v>
      </c>
      <c r="C41" s="6">
        <v>80.16</v>
      </c>
      <c r="D41" s="6">
        <v>88.5</v>
      </c>
      <c r="E41" s="6">
        <v>79.3</v>
      </c>
      <c r="F41" s="6" t="s">
        <v>186</v>
      </c>
      <c r="G41" s="6">
        <v>1.17E-2</v>
      </c>
      <c r="H41" s="6">
        <v>1.167931283311229E-2</v>
      </c>
      <c r="I41" s="13">
        <v>1.167931283311229</v>
      </c>
    </row>
    <row r="42" spans="1:9" x14ac:dyDescent="0.35">
      <c r="A42" s="7">
        <v>45721</v>
      </c>
      <c r="B42" s="6">
        <v>90.13</v>
      </c>
      <c r="C42" s="6">
        <v>86.35</v>
      </c>
      <c r="D42" s="6">
        <v>90.3</v>
      </c>
      <c r="E42" s="6">
        <v>82.5</v>
      </c>
      <c r="F42" s="6" t="s">
        <v>185</v>
      </c>
      <c r="G42" s="6">
        <v>6.7900000000000002E-2</v>
      </c>
      <c r="H42" s="6">
        <v>6.5685670966406928E-2</v>
      </c>
      <c r="I42" s="13">
        <v>6.5685670966406926</v>
      </c>
    </row>
    <row r="43" spans="1:9" x14ac:dyDescent="0.35">
      <c r="A43" s="7">
        <v>45722</v>
      </c>
      <c r="B43" s="6">
        <v>80.459999999999994</v>
      </c>
      <c r="C43" s="6">
        <v>87.5</v>
      </c>
      <c r="D43" s="6">
        <v>88.34</v>
      </c>
      <c r="E43" s="6">
        <v>80.010000000000005</v>
      </c>
      <c r="F43" s="6" t="s">
        <v>184</v>
      </c>
      <c r="G43" s="6">
        <v>-0.10730000000000001</v>
      </c>
      <c r="H43" s="6">
        <v>-0.11349290604667631</v>
      </c>
      <c r="I43" s="13">
        <v>-11.34929060466763</v>
      </c>
    </row>
    <row r="44" spans="1:9" x14ac:dyDescent="0.35">
      <c r="A44" s="7">
        <v>45723</v>
      </c>
      <c r="B44" s="6">
        <v>84.91</v>
      </c>
      <c r="C44" s="6">
        <v>80.03</v>
      </c>
      <c r="D44" s="6">
        <v>85.16</v>
      </c>
      <c r="E44" s="6">
        <v>79.150000000000006</v>
      </c>
      <c r="F44" s="6" t="s">
        <v>183</v>
      </c>
      <c r="G44" s="6">
        <v>5.5300000000000002E-2</v>
      </c>
      <c r="H44" s="6">
        <v>5.3831705489630052E-2</v>
      </c>
      <c r="I44" s="13">
        <v>5.3831705489630046</v>
      </c>
    </row>
    <row r="45" spans="1:9" x14ac:dyDescent="0.35">
      <c r="A45" s="7">
        <v>45726</v>
      </c>
      <c r="B45" s="6">
        <v>76.38</v>
      </c>
      <c r="C45" s="6">
        <v>82</v>
      </c>
      <c r="D45" s="6">
        <v>82.69</v>
      </c>
      <c r="E45" s="6">
        <v>74.569999999999993</v>
      </c>
      <c r="F45" s="6" t="s">
        <v>182</v>
      </c>
      <c r="G45" s="6">
        <v>-0.10050000000000001</v>
      </c>
      <c r="H45" s="6">
        <v>-0.10587099021390189</v>
      </c>
      <c r="I45" s="13">
        <v>-10.587099021390189</v>
      </c>
    </row>
    <row r="46" spans="1:9" x14ac:dyDescent="0.35">
      <c r="A46" s="7">
        <v>45727</v>
      </c>
      <c r="B46" s="6">
        <v>78.05</v>
      </c>
      <c r="C46" s="6">
        <v>75.790000000000006</v>
      </c>
      <c r="D46" s="6">
        <v>80.75</v>
      </c>
      <c r="E46" s="6">
        <v>75.53</v>
      </c>
      <c r="F46" s="6" t="s">
        <v>181</v>
      </c>
      <c r="G46" s="6">
        <v>2.1899999999999999E-2</v>
      </c>
      <c r="H46" s="6">
        <v>2.1628765164071001E-2</v>
      </c>
      <c r="I46" s="13">
        <v>2.1628765164071</v>
      </c>
    </row>
    <row r="47" spans="1:9" x14ac:dyDescent="0.35">
      <c r="A47" s="7">
        <v>45728</v>
      </c>
      <c r="B47" s="6">
        <v>83.65</v>
      </c>
      <c r="C47" s="6">
        <v>83.48</v>
      </c>
      <c r="D47" s="6">
        <v>84.55</v>
      </c>
      <c r="E47" s="6">
        <v>79.86</v>
      </c>
      <c r="F47" s="6" t="s">
        <v>180</v>
      </c>
      <c r="G47" s="6">
        <v>7.17E-2</v>
      </c>
      <c r="H47" s="6">
        <v>6.9291780471392103E-2</v>
      </c>
      <c r="I47" s="13">
        <v>6.9291780471392102</v>
      </c>
    </row>
    <row r="48" spans="1:9" x14ac:dyDescent="0.35">
      <c r="A48" s="7">
        <v>45729</v>
      </c>
      <c r="B48" s="6">
        <v>79.62</v>
      </c>
      <c r="C48" s="6">
        <v>82.85</v>
      </c>
      <c r="D48" s="6">
        <v>83.74</v>
      </c>
      <c r="E48" s="6">
        <v>78.319999999999993</v>
      </c>
      <c r="F48" s="6" t="s">
        <v>179</v>
      </c>
      <c r="G48" s="6">
        <v>-4.82E-2</v>
      </c>
      <c r="H48" s="6">
        <v>-4.9376109860661821E-2</v>
      </c>
      <c r="I48" s="13">
        <v>-4.9376109860661819</v>
      </c>
    </row>
    <row r="49" spans="1:9" x14ac:dyDescent="0.35">
      <c r="A49" s="7">
        <v>45730</v>
      </c>
      <c r="B49" s="6">
        <v>86.24</v>
      </c>
      <c r="C49" s="6">
        <v>82.97</v>
      </c>
      <c r="D49" s="6">
        <v>87.27</v>
      </c>
      <c r="E49" s="6">
        <v>82.16</v>
      </c>
      <c r="F49" s="6" t="s">
        <v>178</v>
      </c>
      <c r="G49" s="6">
        <v>8.3099999999999993E-2</v>
      </c>
      <c r="H49" s="6">
        <v>7.9868789588515829E-2</v>
      </c>
      <c r="I49" s="13">
        <v>7.9868789588515829</v>
      </c>
    </row>
    <row r="50" spans="1:9" x14ac:dyDescent="0.35">
      <c r="A50" s="7">
        <v>45733</v>
      </c>
      <c r="B50" s="6">
        <v>87.35</v>
      </c>
      <c r="C50" s="6">
        <v>88.44</v>
      </c>
      <c r="D50" s="6">
        <v>88.82</v>
      </c>
      <c r="E50" s="6">
        <v>84.5</v>
      </c>
      <c r="F50" s="6" t="s">
        <v>177</v>
      </c>
      <c r="G50" s="6">
        <v>1.29E-2</v>
      </c>
      <c r="H50" s="6">
        <v>1.2788929419378489E-2</v>
      </c>
      <c r="I50" s="13">
        <v>1.278892941937849</v>
      </c>
    </row>
    <row r="51" spans="1:9" x14ac:dyDescent="0.35">
      <c r="A51" s="7">
        <v>45734</v>
      </c>
      <c r="B51" s="6">
        <v>83.89</v>
      </c>
      <c r="C51" s="6">
        <v>85.78</v>
      </c>
      <c r="D51" s="6">
        <v>86.17</v>
      </c>
      <c r="E51" s="6">
        <v>81.8</v>
      </c>
      <c r="F51" s="6" t="s">
        <v>176</v>
      </c>
      <c r="G51" s="6">
        <v>-3.9600000000000003E-2</v>
      </c>
      <c r="H51" s="6">
        <v>-4.0416619721862217E-2</v>
      </c>
      <c r="I51" s="13">
        <v>-4.0416619721862226</v>
      </c>
    </row>
    <row r="52" spans="1:9" x14ac:dyDescent="0.35">
      <c r="A52" s="7">
        <v>45735</v>
      </c>
      <c r="B52" s="6">
        <v>86.1</v>
      </c>
      <c r="C52" s="6">
        <v>84.55</v>
      </c>
      <c r="D52" s="6">
        <v>87.99</v>
      </c>
      <c r="E52" s="6">
        <v>82.86</v>
      </c>
      <c r="F52" s="6" t="s">
        <v>175</v>
      </c>
      <c r="G52" s="6">
        <v>2.63E-2</v>
      </c>
      <c r="H52" s="6">
        <v>2.6002994575481851E-2</v>
      </c>
      <c r="I52" s="13">
        <v>2.6002994575481848</v>
      </c>
    </row>
    <row r="53" spans="1:9" x14ac:dyDescent="0.35">
      <c r="A53" s="7">
        <v>45736</v>
      </c>
      <c r="B53" s="6">
        <v>87.39</v>
      </c>
      <c r="C53" s="6">
        <v>85.54</v>
      </c>
      <c r="D53" s="6">
        <v>89.8</v>
      </c>
      <c r="E53" s="6">
        <v>85.12</v>
      </c>
      <c r="F53" s="6" t="s">
        <v>174</v>
      </c>
      <c r="G53" s="6">
        <v>1.4999999999999999E-2</v>
      </c>
      <c r="H53" s="6">
        <v>1.4871448205767889E-2</v>
      </c>
      <c r="I53" s="13">
        <v>1.487144820576789</v>
      </c>
    </row>
    <row r="54" spans="1:9" x14ac:dyDescent="0.35">
      <c r="A54" s="7">
        <v>45737</v>
      </c>
      <c r="B54" s="6">
        <v>90.96</v>
      </c>
      <c r="C54" s="6">
        <v>85.85</v>
      </c>
      <c r="D54" s="6">
        <v>91.07</v>
      </c>
      <c r="E54" s="6">
        <v>84.46</v>
      </c>
      <c r="F54" s="6" t="s">
        <v>173</v>
      </c>
      <c r="G54" s="6">
        <v>4.0899999999999999E-2</v>
      </c>
      <c r="H54" s="6">
        <v>4.0038989802827572E-2</v>
      </c>
      <c r="I54" s="13">
        <v>4.0038989802827567</v>
      </c>
    </row>
    <row r="55" spans="1:9" x14ac:dyDescent="0.35">
      <c r="A55" s="7">
        <v>45740</v>
      </c>
      <c r="B55" s="6">
        <v>96.75</v>
      </c>
      <c r="C55" s="6">
        <v>93.4</v>
      </c>
      <c r="D55" s="6">
        <v>97.39</v>
      </c>
      <c r="E55" s="6">
        <v>92.28</v>
      </c>
      <c r="F55" s="6" t="s">
        <v>172</v>
      </c>
      <c r="G55" s="6">
        <v>6.3700000000000007E-2</v>
      </c>
      <c r="H55" s="6">
        <v>6.1710482467610628E-2</v>
      </c>
      <c r="I55" s="13">
        <v>6.1710482467610639</v>
      </c>
    </row>
    <row r="56" spans="1:9" x14ac:dyDescent="0.35">
      <c r="A56" s="7">
        <v>45741</v>
      </c>
      <c r="B56" s="6">
        <v>96.5</v>
      </c>
      <c r="C56" s="6">
        <v>97.22</v>
      </c>
      <c r="D56" s="6">
        <v>98.17</v>
      </c>
      <c r="E56" s="6">
        <v>95.08</v>
      </c>
      <c r="F56" s="6" t="s">
        <v>171</v>
      </c>
      <c r="G56" s="6">
        <v>-2.5999999999999999E-3</v>
      </c>
      <c r="H56" s="6">
        <v>-2.5873235649509119E-3</v>
      </c>
      <c r="I56" s="13">
        <v>-0.25873235649509119</v>
      </c>
    </row>
    <row r="57" spans="1:9" x14ac:dyDescent="0.35">
      <c r="A57" s="7">
        <v>45742</v>
      </c>
      <c r="B57" s="6">
        <v>92.28</v>
      </c>
      <c r="C57" s="6">
        <v>96.29</v>
      </c>
      <c r="D57" s="6">
        <v>97.3</v>
      </c>
      <c r="E57" s="6">
        <v>90.82</v>
      </c>
      <c r="F57" s="6" t="s">
        <v>170</v>
      </c>
      <c r="G57" s="6">
        <v>-4.3700000000000003E-2</v>
      </c>
      <c r="H57" s="6">
        <v>-4.4715575039387258E-2</v>
      </c>
      <c r="I57" s="13">
        <v>-4.4715575039387261</v>
      </c>
    </row>
    <row r="58" spans="1:9" x14ac:dyDescent="0.35">
      <c r="A58" s="7">
        <v>45743</v>
      </c>
      <c r="B58" s="6">
        <v>90.09</v>
      </c>
      <c r="C58" s="6">
        <v>91.01</v>
      </c>
      <c r="D58" s="6">
        <v>93.65</v>
      </c>
      <c r="E58" s="6">
        <v>89.67</v>
      </c>
      <c r="F58" s="6" t="s">
        <v>169</v>
      </c>
      <c r="G58" s="6">
        <v>-2.3699999999999999E-2</v>
      </c>
      <c r="H58" s="6">
        <v>-2.4018262642204271E-2</v>
      </c>
      <c r="I58" s="13">
        <v>-2.401826264220428</v>
      </c>
    </row>
    <row r="59" spans="1:9" x14ac:dyDescent="0.35">
      <c r="A59" s="7">
        <v>45744</v>
      </c>
      <c r="B59" s="6">
        <v>85.85</v>
      </c>
      <c r="C59" s="6">
        <v>89.34</v>
      </c>
      <c r="D59" s="6">
        <v>89.38</v>
      </c>
      <c r="E59" s="6">
        <v>84.1</v>
      </c>
      <c r="F59" s="6" t="s">
        <v>168</v>
      </c>
      <c r="G59" s="6">
        <v>-4.7100000000000003E-2</v>
      </c>
      <c r="H59" s="6">
        <v>-4.8207583319864217E-2</v>
      </c>
      <c r="I59" s="13">
        <v>-4.820758331986422</v>
      </c>
    </row>
    <row r="60" spans="1:9" x14ac:dyDescent="0.35">
      <c r="A60" s="7">
        <v>45747</v>
      </c>
      <c r="B60" s="6">
        <v>84.4</v>
      </c>
      <c r="C60" s="6">
        <v>80</v>
      </c>
      <c r="D60" s="6">
        <v>84.65</v>
      </c>
      <c r="E60" s="6">
        <v>78.75</v>
      </c>
      <c r="F60" s="6" t="s">
        <v>167</v>
      </c>
      <c r="G60" s="6">
        <v>-1.6899999999999998E-2</v>
      </c>
      <c r="H60" s="6">
        <v>-1.7034185741572921E-2</v>
      </c>
      <c r="I60" s="13">
        <v>-1.703418574157292</v>
      </c>
    </row>
    <row r="61" spans="1:9" x14ac:dyDescent="0.35">
      <c r="A61" s="7">
        <v>45748</v>
      </c>
      <c r="B61" s="6">
        <v>84.68</v>
      </c>
      <c r="C61" s="6">
        <v>83.89</v>
      </c>
      <c r="D61" s="6">
        <v>85.28</v>
      </c>
      <c r="E61" s="6">
        <v>81.819999999999993</v>
      </c>
      <c r="F61" s="6" t="s">
        <v>166</v>
      </c>
      <c r="G61" s="6">
        <v>3.3E-3</v>
      </c>
      <c r="H61" s="6">
        <v>3.312044664752955E-3</v>
      </c>
      <c r="I61" s="13">
        <v>0.33120446647529561</v>
      </c>
    </row>
    <row r="62" spans="1:9" x14ac:dyDescent="0.35">
      <c r="A62" s="7">
        <v>45749</v>
      </c>
      <c r="B62" s="6">
        <v>87.45</v>
      </c>
      <c r="C62" s="6">
        <v>82.4</v>
      </c>
      <c r="D62" s="6">
        <v>88.4</v>
      </c>
      <c r="E62" s="6">
        <v>82.3</v>
      </c>
      <c r="F62" s="6" t="s">
        <v>165</v>
      </c>
      <c r="G62" s="6">
        <v>3.27E-2</v>
      </c>
      <c r="H62" s="6">
        <v>3.2187755197946581E-2</v>
      </c>
      <c r="I62" s="13">
        <v>3.2187755197946579</v>
      </c>
    </row>
    <row r="63" spans="1:9" x14ac:dyDescent="0.35">
      <c r="A63" s="7">
        <v>45750</v>
      </c>
      <c r="B63" s="6">
        <v>83.6</v>
      </c>
      <c r="C63" s="6">
        <v>81.25</v>
      </c>
      <c r="D63" s="6">
        <v>85.68</v>
      </c>
      <c r="E63" s="6">
        <v>81.010000000000005</v>
      </c>
      <c r="F63" s="6" t="s">
        <v>164</v>
      </c>
      <c r="G63" s="6">
        <v>-4.3999999999999997E-2</v>
      </c>
      <c r="H63" s="6">
        <v>-4.5023681373955238E-2</v>
      </c>
      <c r="I63" s="13">
        <v>-4.5023681373955249</v>
      </c>
    </row>
    <row r="64" spans="1:9" x14ac:dyDescent="0.35">
      <c r="A64" s="7">
        <v>45751</v>
      </c>
      <c r="B64" s="6">
        <v>74.010000000000005</v>
      </c>
      <c r="C64" s="6">
        <v>80.069999999999993</v>
      </c>
      <c r="D64" s="6">
        <v>80.98</v>
      </c>
      <c r="E64" s="6">
        <v>71.930000000000007</v>
      </c>
      <c r="F64" s="6" t="s">
        <v>163</v>
      </c>
      <c r="G64" s="6">
        <v>-0.1147</v>
      </c>
      <c r="H64" s="6">
        <v>-0.1218433008812808</v>
      </c>
      <c r="I64" s="13">
        <v>-12.18433008812808</v>
      </c>
    </row>
    <row r="65" spans="1:9" x14ac:dyDescent="0.35">
      <c r="A65" s="7">
        <v>45754</v>
      </c>
      <c r="B65" s="6">
        <v>77.84</v>
      </c>
      <c r="C65" s="6">
        <v>66.650000000000006</v>
      </c>
      <c r="D65" s="6">
        <v>81.8</v>
      </c>
      <c r="E65" s="6">
        <v>66.12</v>
      </c>
      <c r="F65" s="6" t="s">
        <v>162</v>
      </c>
      <c r="G65" s="6">
        <v>5.1700000000000003E-2</v>
      </c>
      <c r="H65" s="6">
        <v>5.0455218668374657E-2</v>
      </c>
      <c r="I65" s="13">
        <v>5.0455218668374666</v>
      </c>
    </row>
    <row r="66" spans="1:9" x14ac:dyDescent="0.35">
      <c r="A66" s="7">
        <v>45755</v>
      </c>
      <c r="B66" s="6">
        <v>77.319999999999993</v>
      </c>
      <c r="C66" s="6">
        <v>83.29</v>
      </c>
      <c r="D66" s="6">
        <v>86.11</v>
      </c>
      <c r="E66" s="6">
        <v>75.22</v>
      </c>
      <c r="F66" s="6" t="s">
        <v>161</v>
      </c>
      <c r="G66" s="6">
        <v>-6.7000000000000002E-3</v>
      </c>
      <c r="H66" s="6">
        <v>-6.7027835376196254E-3</v>
      </c>
      <c r="I66" s="13">
        <v>-0.67027835376196243</v>
      </c>
    </row>
    <row r="67" spans="1:9" x14ac:dyDescent="0.35">
      <c r="A67" s="7">
        <v>45756</v>
      </c>
      <c r="B67" s="6">
        <v>92.01</v>
      </c>
      <c r="C67" s="6">
        <v>78.19</v>
      </c>
      <c r="D67" s="6">
        <v>93.33</v>
      </c>
      <c r="E67" s="6">
        <v>77.27</v>
      </c>
      <c r="F67" s="6" t="s">
        <v>160</v>
      </c>
      <c r="G67" s="6">
        <v>0.19</v>
      </c>
      <c r="H67" s="6">
        <v>0.17394461245413989</v>
      </c>
      <c r="I67" s="13">
        <v>17.394461245413989</v>
      </c>
    </row>
    <row r="68" spans="1:9" x14ac:dyDescent="0.35">
      <c r="A68" s="7">
        <v>45757</v>
      </c>
      <c r="B68" s="6">
        <v>88.59</v>
      </c>
      <c r="C68" s="6">
        <v>88.4</v>
      </c>
      <c r="D68" s="6">
        <v>90.78</v>
      </c>
      <c r="E68" s="6">
        <v>84.14</v>
      </c>
      <c r="F68" s="6" t="s">
        <v>159</v>
      </c>
      <c r="G68" s="6">
        <v>-3.7199999999999997E-2</v>
      </c>
      <c r="H68" s="6">
        <v>-3.787828237032885E-2</v>
      </c>
      <c r="I68" s="13">
        <v>-3.7878282370328851</v>
      </c>
    </row>
    <row r="69" spans="1:9" x14ac:dyDescent="0.35">
      <c r="A69" s="7">
        <v>45758</v>
      </c>
      <c r="B69" s="6">
        <v>88.55</v>
      </c>
      <c r="C69" s="6">
        <v>87.98</v>
      </c>
      <c r="D69" s="6">
        <v>89.55</v>
      </c>
      <c r="E69" s="6">
        <v>85.47</v>
      </c>
      <c r="F69" s="6" t="s">
        <v>158</v>
      </c>
      <c r="G69" s="6">
        <v>-5.0000000000000001E-4</v>
      </c>
      <c r="H69" s="6">
        <v>-4.5162019509853842E-4</v>
      </c>
      <c r="I69" s="13">
        <v>-4.5162019509853837E-2</v>
      </c>
    </row>
    <row r="70" spans="1:9" x14ac:dyDescent="0.35">
      <c r="A70" s="7">
        <v>45761</v>
      </c>
      <c r="B70" s="6">
        <v>92.62</v>
      </c>
      <c r="C70" s="6">
        <v>95.8</v>
      </c>
      <c r="D70" s="6">
        <v>97.33</v>
      </c>
      <c r="E70" s="6">
        <v>91.46</v>
      </c>
      <c r="F70" s="6" t="s">
        <v>157</v>
      </c>
      <c r="G70" s="6">
        <v>4.5999999999999999E-2</v>
      </c>
      <c r="H70" s="6">
        <v>4.4937736823763383E-2</v>
      </c>
      <c r="I70" s="13">
        <v>4.4937736823763377</v>
      </c>
    </row>
    <row r="71" spans="1:9" x14ac:dyDescent="0.35">
      <c r="A71" s="7">
        <v>45762</v>
      </c>
      <c r="B71" s="6">
        <v>98.4</v>
      </c>
      <c r="C71" s="6">
        <v>93.53</v>
      </c>
      <c r="D71" s="6">
        <v>98.99</v>
      </c>
      <c r="E71" s="6">
        <v>93.05</v>
      </c>
      <c r="F71" s="6" t="s">
        <v>156</v>
      </c>
      <c r="G71" s="6">
        <v>6.2399999999999997E-2</v>
      </c>
      <c r="H71" s="6">
        <v>6.0535703005601883E-2</v>
      </c>
      <c r="I71" s="13">
        <v>6.053570300560188</v>
      </c>
    </row>
    <row r="72" spans="1:9" x14ac:dyDescent="0.35">
      <c r="A72" s="7">
        <v>45763</v>
      </c>
      <c r="B72" s="6">
        <v>92.71</v>
      </c>
      <c r="C72" s="6">
        <v>96.28</v>
      </c>
      <c r="D72" s="6">
        <v>97.3</v>
      </c>
      <c r="E72" s="6">
        <v>89.62</v>
      </c>
      <c r="F72" s="6" t="s">
        <v>155</v>
      </c>
      <c r="G72" s="6">
        <v>-5.7799999999999997E-2</v>
      </c>
      <c r="H72" s="6">
        <v>-5.9564462439316859E-2</v>
      </c>
      <c r="I72" s="13">
        <v>-5.9564462439316861</v>
      </c>
    </row>
    <row r="73" spans="1:9" x14ac:dyDescent="0.35">
      <c r="A73" s="7">
        <v>45764</v>
      </c>
      <c r="B73" s="6">
        <v>93.78</v>
      </c>
      <c r="C73" s="6">
        <v>94.71</v>
      </c>
      <c r="D73" s="6">
        <v>95.11</v>
      </c>
      <c r="E73" s="6">
        <v>92.27</v>
      </c>
      <c r="F73" s="6" t="s">
        <v>154</v>
      </c>
      <c r="G73" s="6">
        <v>1.15E-2</v>
      </c>
      <c r="H73" s="6">
        <v>1.1475272042549301E-2</v>
      </c>
      <c r="I73" s="13">
        <v>1.14752720425493</v>
      </c>
    </row>
    <row r="74" spans="1:9" x14ac:dyDescent="0.35">
      <c r="A74" s="7">
        <v>45768</v>
      </c>
      <c r="B74" s="6">
        <v>90.8</v>
      </c>
      <c r="C74" s="6">
        <v>92.84</v>
      </c>
      <c r="D74" s="6">
        <v>96.47</v>
      </c>
      <c r="E74" s="6">
        <v>89.31</v>
      </c>
      <c r="F74" s="6" t="s">
        <v>153</v>
      </c>
      <c r="G74" s="6">
        <v>-3.1800000000000002E-2</v>
      </c>
      <c r="H74" s="6">
        <v>-3.2292328054192701E-2</v>
      </c>
      <c r="I74" s="13">
        <v>-3.22923280541927</v>
      </c>
    </row>
    <row r="75" spans="1:9" x14ac:dyDescent="0.35">
      <c r="A75" s="7">
        <v>45769</v>
      </c>
      <c r="B75" s="6">
        <v>93.99</v>
      </c>
      <c r="C75" s="6">
        <v>93.01</v>
      </c>
      <c r="D75" s="6">
        <v>96.34</v>
      </c>
      <c r="E75" s="6">
        <v>91.35</v>
      </c>
      <c r="F75" s="6" t="s">
        <v>152</v>
      </c>
      <c r="G75" s="6">
        <v>3.5099999999999999E-2</v>
      </c>
      <c r="H75" s="6">
        <v>3.4529108024962459E-2</v>
      </c>
      <c r="I75" s="13">
        <v>3.452910802496246</v>
      </c>
    </row>
    <row r="76" spans="1:9" x14ac:dyDescent="0.35">
      <c r="A76" s="7">
        <v>45770</v>
      </c>
      <c r="B76" s="6">
        <v>100.82</v>
      </c>
      <c r="C76" s="6">
        <v>98.86</v>
      </c>
      <c r="D76" s="6">
        <v>103.76</v>
      </c>
      <c r="E76" s="6">
        <v>97.83</v>
      </c>
      <c r="F76" s="6" t="s">
        <v>151</v>
      </c>
      <c r="G76" s="6">
        <v>7.2700000000000001E-2</v>
      </c>
      <c r="H76" s="6">
        <v>7.0148355022274692E-2</v>
      </c>
      <c r="I76" s="13">
        <v>7.0148355022274691</v>
      </c>
    </row>
    <row r="77" spans="1:9" x14ac:dyDescent="0.35">
      <c r="A77" s="7">
        <v>45771</v>
      </c>
      <c r="B77" s="6">
        <v>107.78</v>
      </c>
      <c r="C77" s="6">
        <v>101.53</v>
      </c>
      <c r="D77" s="6">
        <v>108</v>
      </c>
      <c r="E77" s="6">
        <v>100.91</v>
      </c>
      <c r="F77" s="6" t="s">
        <v>150</v>
      </c>
      <c r="G77" s="6">
        <v>6.9000000000000006E-2</v>
      </c>
      <c r="H77" s="6">
        <v>6.675536385086589E-2</v>
      </c>
      <c r="I77" s="13">
        <v>6.6755363850865894</v>
      </c>
    </row>
    <row r="78" spans="1:9" x14ac:dyDescent="0.35">
      <c r="A78" s="7">
        <v>45772</v>
      </c>
      <c r="B78" s="6">
        <v>112.78</v>
      </c>
      <c r="C78" s="6">
        <v>108.05</v>
      </c>
      <c r="D78" s="6">
        <v>112.88</v>
      </c>
      <c r="E78" s="6">
        <v>106.55</v>
      </c>
      <c r="F78" s="6" t="s">
        <v>149</v>
      </c>
      <c r="G78" s="6">
        <v>4.6399999999999997E-2</v>
      </c>
      <c r="H78" s="6">
        <v>4.5346905873685478E-2</v>
      </c>
      <c r="I78" s="13">
        <v>4.5346905873685488</v>
      </c>
    </row>
    <row r="79" spans="1:9" x14ac:dyDescent="0.35">
      <c r="A79" s="7">
        <v>45775</v>
      </c>
      <c r="B79" s="6">
        <v>114.65</v>
      </c>
      <c r="C79" s="6">
        <v>113.78</v>
      </c>
      <c r="D79" s="6">
        <v>114.86</v>
      </c>
      <c r="E79" s="6">
        <v>108.87</v>
      </c>
      <c r="F79" s="6" t="s">
        <v>148</v>
      </c>
      <c r="G79" s="6">
        <v>1.66E-2</v>
      </c>
      <c r="H79" s="6">
        <v>1.644499092487732E-2</v>
      </c>
      <c r="I79" s="13">
        <v>1.6444990924877321</v>
      </c>
    </row>
    <row r="80" spans="1:9" x14ac:dyDescent="0.35">
      <c r="A80" s="7">
        <v>45776</v>
      </c>
      <c r="B80" s="6">
        <v>116.08</v>
      </c>
      <c r="C80" s="6">
        <v>113.98</v>
      </c>
      <c r="D80" s="6">
        <v>117.23</v>
      </c>
      <c r="E80" s="6">
        <v>113.24</v>
      </c>
      <c r="F80" s="6" t="s">
        <v>147</v>
      </c>
      <c r="G80" s="6">
        <v>1.2500000000000001E-2</v>
      </c>
      <c r="H80" s="6">
        <v>1.239559927201889E-2</v>
      </c>
      <c r="I80" s="13">
        <v>1.239559927201888</v>
      </c>
    </row>
    <row r="81" spans="1:9" x14ac:dyDescent="0.35">
      <c r="A81" s="7">
        <v>45777</v>
      </c>
      <c r="B81" s="6">
        <v>118.44</v>
      </c>
      <c r="C81" s="6">
        <v>111.61</v>
      </c>
      <c r="D81" s="6">
        <v>118.78</v>
      </c>
      <c r="E81" s="6">
        <v>110.54</v>
      </c>
      <c r="F81" s="6" t="s">
        <v>146</v>
      </c>
      <c r="G81" s="6">
        <v>2.0299999999999999E-2</v>
      </c>
      <c r="H81" s="6">
        <v>2.012689465745807E-2</v>
      </c>
      <c r="I81" s="13">
        <v>2.0126894657458072</v>
      </c>
    </row>
    <row r="82" spans="1:9" x14ac:dyDescent="0.35">
      <c r="A82" s="7">
        <v>45778</v>
      </c>
      <c r="B82" s="6">
        <v>116.2</v>
      </c>
      <c r="C82" s="6">
        <v>120.04</v>
      </c>
      <c r="D82" s="6">
        <v>120.19</v>
      </c>
      <c r="E82" s="6">
        <v>116</v>
      </c>
      <c r="F82" s="6" t="s">
        <v>145</v>
      </c>
      <c r="G82" s="6">
        <v>-1.89E-2</v>
      </c>
      <c r="H82" s="6">
        <v>-1.9093658815579589E-2</v>
      </c>
      <c r="I82" s="13">
        <v>-1.9093658815579591</v>
      </c>
    </row>
    <row r="83" spans="1:9" x14ac:dyDescent="0.35">
      <c r="A83" s="7">
        <v>45779</v>
      </c>
      <c r="B83" s="6">
        <v>124.28</v>
      </c>
      <c r="C83" s="6">
        <v>118.66</v>
      </c>
      <c r="D83" s="6">
        <v>124.42</v>
      </c>
      <c r="E83" s="6">
        <v>118.63</v>
      </c>
      <c r="F83" s="6" t="s">
        <v>144</v>
      </c>
      <c r="G83" s="6">
        <v>6.9500000000000006E-2</v>
      </c>
      <c r="H83" s="6">
        <v>6.7224240107035843E-2</v>
      </c>
      <c r="I83" s="13">
        <v>6.722424010703584</v>
      </c>
    </row>
    <row r="84" spans="1:9" x14ac:dyDescent="0.35">
      <c r="A84" s="7">
        <v>45782</v>
      </c>
      <c r="B84" s="6">
        <v>123.77</v>
      </c>
      <c r="C84" s="6">
        <v>123.7</v>
      </c>
      <c r="D84" s="6">
        <v>125.25</v>
      </c>
      <c r="E84" s="6">
        <v>121.36</v>
      </c>
      <c r="F84" s="6" t="s">
        <v>143</v>
      </c>
      <c r="G84" s="6">
        <v>-4.1000000000000003E-3</v>
      </c>
      <c r="H84" s="6">
        <v>-4.1120799729157864E-3</v>
      </c>
      <c r="I84" s="13">
        <v>-0.41120799729157859</v>
      </c>
    </row>
    <row r="85" spans="1:9" x14ac:dyDescent="0.35">
      <c r="A85" s="7">
        <v>45783</v>
      </c>
      <c r="B85" s="6">
        <v>108.86</v>
      </c>
      <c r="C85" s="6">
        <v>112.71</v>
      </c>
      <c r="D85" s="6">
        <v>113.91</v>
      </c>
      <c r="E85" s="6">
        <v>105.32</v>
      </c>
      <c r="F85" s="6" t="s">
        <v>142</v>
      </c>
      <c r="G85" s="6">
        <v>-0.1205</v>
      </c>
      <c r="H85" s="6">
        <v>-0.128362351545877</v>
      </c>
      <c r="I85" s="13">
        <v>-12.836235154587699</v>
      </c>
    </row>
    <row r="86" spans="1:9" x14ac:dyDescent="0.35">
      <c r="A86" s="7">
        <v>45784</v>
      </c>
      <c r="B86" s="6">
        <v>110.48</v>
      </c>
      <c r="C86" s="6">
        <v>107.97</v>
      </c>
      <c r="D86" s="6">
        <v>111.85</v>
      </c>
      <c r="E86" s="6">
        <v>107</v>
      </c>
      <c r="F86" s="6" t="s">
        <v>141</v>
      </c>
      <c r="G86" s="6">
        <v>1.49E-2</v>
      </c>
      <c r="H86" s="6">
        <v>1.4771856094982661E-2</v>
      </c>
      <c r="I86" s="13">
        <v>1.4771856094982661</v>
      </c>
    </row>
    <row r="87" spans="1:9" x14ac:dyDescent="0.35">
      <c r="A87" s="7">
        <v>45785</v>
      </c>
      <c r="B87" s="6">
        <v>119.15</v>
      </c>
      <c r="C87" s="6">
        <v>112.28</v>
      </c>
      <c r="D87" s="6">
        <v>120.38</v>
      </c>
      <c r="E87" s="6">
        <v>112.07</v>
      </c>
      <c r="F87" s="6" t="s">
        <v>140</v>
      </c>
      <c r="G87" s="6">
        <v>7.85E-2</v>
      </c>
      <c r="H87" s="6">
        <v>7.554869444371437E-2</v>
      </c>
      <c r="I87" s="13">
        <v>7.5548694443714366</v>
      </c>
    </row>
    <row r="88" spans="1:9" x14ac:dyDescent="0.35">
      <c r="A88" s="7">
        <v>45786</v>
      </c>
      <c r="B88" s="6">
        <v>117.3</v>
      </c>
      <c r="C88" s="6">
        <v>118.97</v>
      </c>
      <c r="D88" s="6">
        <v>119.16</v>
      </c>
      <c r="E88" s="6">
        <v>114.9</v>
      </c>
      <c r="F88" s="6" t="s">
        <v>139</v>
      </c>
      <c r="G88" s="6">
        <v>-1.55E-2</v>
      </c>
      <c r="H88" s="6">
        <v>-1.564844788532143E-2</v>
      </c>
      <c r="I88" s="13">
        <v>-1.564844788532143</v>
      </c>
    </row>
    <row r="89" spans="1:9" x14ac:dyDescent="0.35">
      <c r="A89" s="7">
        <v>45789</v>
      </c>
      <c r="B89" s="6">
        <v>118.46</v>
      </c>
      <c r="C89" s="6">
        <v>120.78</v>
      </c>
      <c r="D89" s="6">
        <v>120.93</v>
      </c>
      <c r="E89" s="6">
        <v>115.01</v>
      </c>
      <c r="F89" s="6" t="s">
        <v>138</v>
      </c>
      <c r="G89" s="6">
        <v>9.9000000000000008E-3</v>
      </c>
      <c r="H89" s="6">
        <v>9.8405951893893832E-3</v>
      </c>
      <c r="I89" s="13">
        <v>0.98405951893893828</v>
      </c>
    </row>
    <row r="90" spans="1:9" x14ac:dyDescent="0.35">
      <c r="A90" s="7">
        <v>45790</v>
      </c>
      <c r="B90" s="6">
        <v>128.1</v>
      </c>
      <c r="C90" s="6">
        <v>119.92</v>
      </c>
      <c r="D90" s="6">
        <v>130.6</v>
      </c>
      <c r="E90" s="6">
        <v>119.31</v>
      </c>
      <c r="F90" s="6" t="s">
        <v>137</v>
      </c>
      <c r="G90" s="6">
        <v>8.14E-2</v>
      </c>
      <c r="H90" s="6">
        <v>7.8235858053869414E-2</v>
      </c>
      <c r="I90" s="13">
        <v>7.8235858053869416</v>
      </c>
    </row>
    <row r="91" spans="1:9" x14ac:dyDescent="0.35">
      <c r="A91" s="7">
        <v>45791</v>
      </c>
      <c r="B91" s="6">
        <v>130.18</v>
      </c>
      <c r="C91" s="6">
        <v>129.01</v>
      </c>
      <c r="D91" s="6">
        <v>133.49</v>
      </c>
      <c r="E91" s="6">
        <v>127.56</v>
      </c>
      <c r="F91" s="6" t="s">
        <v>136</v>
      </c>
      <c r="G91" s="6">
        <v>1.6199999999999999E-2</v>
      </c>
      <c r="H91" s="6">
        <v>1.6106899241552761E-2</v>
      </c>
      <c r="I91" s="13">
        <v>1.6106899241552759</v>
      </c>
    </row>
    <row r="92" spans="1:9" x14ac:dyDescent="0.35">
      <c r="A92" s="7">
        <v>45792</v>
      </c>
      <c r="B92" s="6">
        <v>128.12</v>
      </c>
      <c r="C92" s="6">
        <v>128.37</v>
      </c>
      <c r="D92" s="6">
        <v>130.19999999999999</v>
      </c>
      <c r="E92" s="6">
        <v>125.74</v>
      </c>
      <c r="F92" s="6" t="s">
        <v>135</v>
      </c>
      <c r="G92" s="6">
        <v>-1.5800000000000002E-2</v>
      </c>
      <c r="H92" s="6">
        <v>-1.5950783403283889E-2</v>
      </c>
      <c r="I92" s="13">
        <v>-1.595078340328389</v>
      </c>
    </row>
    <row r="93" spans="1:9" x14ac:dyDescent="0.35">
      <c r="A93" s="7">
        <v>45793</v>
      </c>
      <c r="B93" s="6">
        <v>129.52000000000001</v>
      </c>
      <c r="C93" s="6">
        <v>129.22999999999999</v>
      </c>
      <c r="D93" s="6">
        <v>130.33000000000001</v>
      </c>
      <c r="E93" s="6">
        <v>126.76</v>
      </c>
      <c r="F93" s="6" t="s">
        <v>134</v>
      </c>
      <c r="G93" s="6">
        <v>1.09E-2</v>
      </c>
      <c r="H93" s="6">
        <v>1.086798462842227E-2</v>
      </c>
      <c r="I93" s="13">
        <v>1.0867984628422269</v>
      </c>
    </row>
    <row r="94" spans="1:9" x14ac:dyDescent="0.35">
      <c r="A94" s="7">
        <v>45796</v>
      </c>
      <c r="B94" s="6">
        <v>126.33</v>
      </c>
      <c r="C94" s="6">
        <v>124.71</v>
      </c>
      <c r="D94" s="6">
        <v>127.77</v>
      </c>
      <c r="E94" s="6">
        <v>124.32</v>
      </c>
      <c r="F94" s="6" t="s">
        <v>133</v>
      </c>
      <c r="G94" s="6">
        <v>-2.46E-2</v>
      </c>
      <c r="H94" s="6">
        <v>-2.4937778527433702E-2</v>
      </c>
      <c r="I94" s="13">
        <v>-2.4937778527433698</v>
      </c>
    </row>
    <row r="95" spans="1:9" x14ac:dyDescent="0.35">
      <c r="A95" s="7">
        <v>45797</v>
      </c>
      <c r="B95" s="6">
        <v>125.59</v>
      </c>
      <c r="C95" s="6">
        <v>127.22</v>
      </c>
      <c r="D95" s="6">
        <v>128.19999999999999</v>
      </c>
      <c r="E95" s="6">
        <v>124.65</v>
      </c>
      <c r="F95" s="6" t="s">
        <v>132</v>
      </c>
      <c r="G95" s="6">
        <v>-5.8999999999999999E-3</v>
      </c>
      <c r="H95" s="6">
        <v>-5.8748978119107266E-3</v>
      </c>
      <c r="I95" s="13">
        <v>-0.58748978119107276</v>
      </c>
    </row>
    <row r="96" spans="1:9" x14ac:dyDescent="0.35">
      <c r="A96" s="7">
        <v>45798</v>
      </c>
      <c r="B96" s="6">
        <v>120.58</v>
      </c>
      <c r="C96" s="6">
        <v>125.16</v>
      </c>
      <c r="D96" s="6">
        <v>127.11</v>
      </c>
      <c r="E96" s="6">
        <v>119.41</v>
      </c>
      <c r="F96" s="6" t="s">
        <v>131</v>
      </c>
      <c r="G96" s="6">
        <v>-3.9899999999999998E-2</v>
      </c>
      <c r="H96" s="6">
        <v>-4.0709199968775867E-2</v>
      </c>
      <c r="I96" s="13">
        <v>-4.0709199968775884</v>
      </c>
    </row>
    <row r="97" spans="1:9" x14ac:dyDescent="0.35">
      <c r="A97" s="7">
        <v>45799</v>
      </c>
      <c r="B97" s="6">
        <v>122.29</v>
      </c>
      <c r="C97" s="6">
        <v>121.95</v>
      </c>
      <c r="D97" s="6">
        <v>126.33</v>
      </c>
      <c r="E97" s="6">
        <v>121.38</v>
      </c>
      <c r="F97" s="6" t="s">
        <v>130</v>
      </c>
      <c r="G97" s="6">
        <v>1.4200000000000001E-2</v>
      </c>
      <c r="H97" s="6">
        <v>1.408184014001912E-2</v>
      </c>
      <c r="I97" s="13">
        <v>1.408184014001912</v>
      </c>
    </row>
    <row r="98" spans="1:9" x14ac:dyDescent="0.35">
      <c r="A98" s="7">
        <v>45800</v>
      </c>
      <c r="B98" s="6">
        <v>123.31</v>
      </c>
      <c r="C98" s="6">
        <v>120.88</v>
      </c>
      <c r="D98" s="6">
        <v>125.54</v>
      </c>
      <c r="E98" s="6">
        <v>120.68</v>
      </c>
      <c r="F98" s="6" t="s">
        <v>129</v>
      </c>
      <c r="G98" s="6">
        <v>8.3000000000000001E-3</v>
      </c>
      <c r="H98" s="6">
        <v>8.3062366811604716E-3</v>
      </c>
      <c r="I98" s="13">
        <v>0.83062366811604715</v>
      </c>
    </row>
    <row r="99" spans="1:9" x14ac:dyDescent="0.35">
      <c r="A99" s="7">
        <v>45804</v>
      </c>
      <c r="B99" s="6">
        <v>123.39</v>
      </c>
      <c r="C99" s="6">
        <v>126.82</v>
      </c>
      <c r="D99" s="6">
        <v>127.88</v>
      </c>
      <c r="E99" s="6">
        <v>120.88</v>
      </c>
      <c r="F99" s="6" t="s">
        <v>128</v>
      </c>
      <c r="G99" s="6">
        <v>5.9999999999999995E-4</v>
      </c>
      <c r="H99" s="6">
        <v>6.4856102800320552E-4</v>
      </c>
      <c r="I99" s="13">
        <v>6.4856102800320559E-2</v>
      </c>
    </row>
    <row r="100" spans="1:9" x14ac:dyDescent="0.35">
      <c r="A100" s="7">
        <v>45805</v>
      </c>
      <c r="B100" s="6">
        <v>123.76</v>
      </c>
      <c r="C100" s="6">
        <v>124.23</v>
      </c>
      <c r="D100" s="6">
        <v>125.65</v>
      </c>
      <c r="E100" s="6">
        <v>122.91</v>
      </c>
      <c r="F100" s="6" t="s">
        <v>127</v>
      </c>
      <c r="G100" s="6">
        <v>3.0000000000000001E-3</v>
      </c>
      <c r="H100" s="6">
        <v>2.9941353543683868E-3</v>
      </c>
      <c r="I100" s="13">
        <v>0.29941353543683868</v>
      </c>
    </row>
    <row r="101" spans="1:9" x14ac:dyDescent="0.35">
      <c r="A101" s="7">
        <v>45806</v>
      </c>
      <c r="B101" s="6">
        <v>122.32</v>
      </c>
      <c r="C101" s="6">
        <v>125.35</v>
      </c>
      <c r="D101" s="6">
        <v>126.47</v>
      </c>
      <c r="E101" s="6">
        <v>121.53</v>
      </c>
      <c r="F101" s="6" t="s">
        <v>126</v>
      </c>
      <c r="G101" s="6">
        <v>-1.1599999999999999E-2</v>
      </c>
      <c r="H101" s="6">
        <v>-1.1703644644003889E-2</v>
      </c>
      <c r="I101" s="13">
        <v>-1.170364464400389</v>
      </c>
    </row>
    <row r="102" spans="1:9" x14ac:dyDescent="0.35">
      <c r="A102" s="7">
        <v>45807</v>
      </c>
      <c r="B102" s="6">
        <v>131.78</v>
      </c>
      <c r="C102" s="6">
        <v>123.53</v>
      </c>
      <c r="D102" s="6">
        <v>131.94</v>
      </c>
      <c r="E102" s="6">
        <v>122.75</v>
      </c>
      <c r="F102" s="6" t="s">
        <v>125</v>
      </c>
      <c r="G102" s="6">
        <v>7.7299999999999994E-2</v>
      </c>
      <c r="H102" s="6">
        <v>7.4493303864866939E-2</v>
      </c>
      <c r="I102" s="13">
        <v>7.449330386486694</v>
      </c>
    </row>
    <row r="103" spans="1:9" x14ac:dyDescent="0.35">
      <c r="A103" s="7">
        <v>45810</v>
      </c>
      <c r="B103" s="6">
        <v>132.04</v>
      </c>
      <c r="C103" s="6">
        <v>131.43</v>
      </c>
      <c r="D103" s="6">
        <v>134.47999999999999</v>
      </c>
      <c r="E103" s="6">
        <v>128.86000000000001</v>
      </c>
      <c r="F103" s="6" t="s">
        <v>124</v>
      </c>
      <c r="G103" s="6">
        <v>2E-3</v>
      </c>
      <c r="H103" s="6">
        <v>1.9710414993184011E-3</v>
      </c>
      <c r="I103" s="13">
        <v>0.19710414993184011</v>
      </c>
    </row>
    <row r="104" spans="1:9" x14ac:dyDescent="0.35">
      <c r="A104" s="7">
        <v>45811</v>
      </c>
      <c r="B104" s="6">
        <v>133.16999999999999</v>
      </c>
      <c r="C104" s="6">
        <v>133.07</v>
      </c>
      <c r="D104" s="6">
        <v>135.28</v>
      </c>
      <c r="E104" s="6">
        <v>130.1</v>
      </c>
      <c r="F104" s="6" t="s">
        <v>123</v>
      </c>
      <c r="G104" s="6">
        <v>8.6E-3</v>
      </c>
      <c r="H104" s="6">
        <v>8.5216005290612087E-3</v>
      </c>
      <c r="I104" s="13">
        <v>0.85216005290612085</v>
      </c>
    </row>
    <row r="105" spans="1:9" x14ac:dyDescent="0.35">
      <c r="A105" s="7">
        <v>45812</v>
      </c>
      <c r="B105" s="6">
        <v>130.01</v>
      </c>
      <c r="C105" s="6">
        <v>132.80000000000001</v>
      </c>
      <c r="D105" s="6">
        <v>132.94999999999999</v>
      </c>
      <c r="E105" s="6">
        <v>125.58</v>
      </c>
      <c r="F105" s="6" t="s">
        <v>107</v>
      </c>
      <c r="G105" s="6">
        <v>-2.3699999999999999E-2</v>
      </c>
      <c r="H105" s="6">
        <v>-2.401513693997619E-2</v>
      </c>
      <c r="I105" s="13">
        <v>-2.4015136939976189</v>
      </c>
    </row>
    <row r="106" spans="1:9" x14ac:dyDescent="0.35">
      <c r="A106" s="7">
        <v>45813</v>
      </c>
      <c r="B106" s="6">
        <v>119.91</v>
      </c>
      <c r="C106" s="6">
        <v>129.27000000000001</v>
      </c>
      <c r="D106" s="6">
        <v>132.85</v>
      </c>
      <c r="E106" s="6">
        <v>118.93</v>
      </c>
      <c r="F106" s="6" t="s">
        <v>122</v>
      </c>
      <c r="G106" s="6">
        <v>-7.7700000000000005E-2</v>
      </c>
      <c r="H106" s="6">
        <v>-8.0869909182735414E-2</v>
      </c>
      <c r="I106" s="13">
        <v>-8.0869909182735409</v>
      </c>
    </row>
    <row r="107" spans="1:9" x14ac:dyDescent="0.35">
      <c r="A107" s="7">
        <v>45814</v>
      </c>
      <c r="B107" s="6">
        <v>127.72</v>
      </c>
      <c r="C107" s="6">
        <v>123.73</v>
      </c>
      <c r="D107" s="6">
        <v>128.13</v>
      </c>
      <c r="E107" s="6">
        <v>121.92</v>
      </c>
      <c r="F107" s="6" t="s">
        <v>121</v>
      </c>
      <c r="G107" s="6">
        <v>6.5100000000000005E-2</v>
      </c>
      <c r="H107" s="6">
        <v>6.3098906455239481E-2</v>
      </c>
      <c r="I107" s="13">
        <v>6.3098906455239483</v>
      </c>
    </row>
    <row r="108" spans="1:9" x14ac:dyDescent="0.35">
      <c r="A108" s="7">
        <v>45817</v>
      </c>
      <c r="B108" s="6">
        <v>132.06</v>
      </c>
      <c r="C108" s="6">
        <v>127.07</v>
      </c>
      <c r="D108" s="6">
        <v>132.22999999999999</v>
      </c>
      <c r="E108" s="6">
        <v>124.8</v>
      </c>
      <c r="F108" s="6" t="s">
        <v>120</v>
      </c>
      <c r="G108" s="6">
        <v>3.4000000000000002E-2</v>
      </c>
      <c r="H108" s="6">
        <v>3.3415996919844017E-2</v>
      </c>
      <c r="I108" s="13">
        <v>3.3415996919844022</v>
      </c>
    </row>
    <row r="109" spans="1:9" x14ac:dyDescent="0.35">
      <c r="A109" s="7">
        <v>45818</v>
      </c>
      <c r="B109" s="6">
        <v>132.81</v>
      </c>
      <c r="C109" s="6">
        <v>131.02000000000001</v>
      </c>
      <c r="D109" s="6">
        <v>134.07</v>
      </c>
      <c r="E109" s="6">
        <v>129.41</v>
      </c>
      <c r="F109" s="6" t="s">
        <v>119</v>
      </c>
      <c r="G109" s="6">
        <v>5.7000000000000002E-3</v>
      </c>
      <c r="H109" s="6">
        <v>5.6631706457339632E-3</v>
      </c>
      <c r="I109" s="13">
        <v>0.56631706457339637</v>
      </c>
    </row>
    <row r="110" spans="1:9" x14ac:dyDescent="0.35">
      <c r="A110" s="7">
        <v>45819</v>
      </c>
      <c r="B110" s="6">
        <v>136.38999999999999</v>
      </c>
      <c r="C110" s="6">
        <v>133.91999999999999</v>
      </c>
      <c r="D110" s="6">
        <v>140</v>
      </c>
      <c r="E110" s="6">
        <v>132.99</v>
      </c>
      <c r="F110" s="6" t="s">
        <v>118</v>
      </c>
      <c r="G110" s="6">
        <v>2.7E-2</v>
      </c>
      <c r="H110" s="6">
        <v>2.6598893526624281E-2</v>
      </c>
      <c r="I110" s="13">
        <v>2.6598893526624279</v>
      </c>
    </row>
    <row r="111" spans="1:9" x14ac:dyDescent="0.35">
      <c r="A111" s="7">
        <v>45820</v>
      </c>
      <c r="B111" s="6">
        <v>135.19</v>
      </c>
      <c r="C111" s="6">
        <v>136.4</v>
      </c>
      <c r="D111" s="6">
        <v>137.1</v>
      </c>
      <c r="E111" s="6">
        <v>134.63</v>
      </c>
      <c r="F111" s="6" t="s">
        <v>117</v>
      </c>
      <c r="G111" s="6">
        <v>-8.8000000000000005E-3</v>
      </c>
      <c r="H111" s="6">
        <v>-8.8372325624696667E-3</v>
      </c>
      <c r="I111" s="13">
        <v>-0.88372325624696668</v>
      </c>
    </row>
    <row r="112" spans="1:9" x14ac:dyDescent="0.35">
      <c r="A112" s="7">
        <v>45821</v>
      </c>
      <c r="B112" s="6">
        <v>137.4</v>
      </c>
      <c r="C112" s="6">
        <v>133.82</v>
      </c>
      <c r="D112" s="6">
        <v>139.99</v>
      </c>
      <c r="E112" s="6">
        <v>133.35</v>
      </c>
      <c r="F112" s="6" t="s">
        <v>116</v>
      </c>
      <c r="G112" s="6">
        <v>1.6299999999999999E-2</v>
      </c>
      <c r="H112" s="6">
        <v>1.6215183411934932E-2</v>
      </c>
      <c r="I112" s="13">
        <v>1.621518341193493</v>
      </c>
    </row>
    <row r="113" spans="1:9" x14ac:dyDescent="0.35">
      <c r="A113" s="7">
        <v>45824</v>
      </c>
      <c r="B113" s="6">
        <v>141.41</v>
      </c>
      <c r="C113" s="6">
        <v>140.03</v>
      </c>
      <c r="D113" s="6">
        <v>144.86000000000001</v>
      </c>
      <c r="E113" s="6">
        <v>139.81</v>
      </c>
      <c r="F113" s="6" t="s">
        <v>115</v>
      </c>
      <c r="G113" s="6">
        <v>2.92E-2</v>
      </c>
      <c r="H113" s="6">
        <v>2.8767092531436049E-2</v>
      </c>
      <c r="I113" s="13">
        <v>2.8767092531436051</v>
      </c>
    </row>
    <row r="114" spans="1:9" x14ac:dyDescent="0.35">
      <c r="A114" s="7">
        <v>45825</v>
      </c>
      <c r="B114" s="6">
        <v>138.19999999999999</v>
      </c>
      <c r="C114" s="6">
        <v>141.49</v>
      </c>
      <c r="D114" s="6">
        <v>141.69</v>
      </c>
      <c r="E114" s="6">
        <v>136.08000000000001</v>
      </c>
      <c r="F114" s="6" t="s">
        <v>114</v>
      </c>
      <c r="G114" s="6">
        <v>-2.2700000000000001E-2</v>
      </c>
      <c r="H114" s="6">
        <v>-2.2961560986115619E-2</v>
      </c>
      <c r="I114" s="13">
        <v>-2.2961560986115619</v>
      </c>
    </row>
    <row r="115" spans="1:9" x14ac:dyDescent="0.35">
      <c r="A115" s="7">
        <v>45826</v>
      </c>
      <c r="B115" s="6">
        <v>139.96</v>
      </c>
      <c r="C115" s="6">
        <v>139.04</v>
      </c>
      <c r="D115" s="6">
        <v>140.36000000000001</v>
      </c>
      <c r="E115" s="6">
        <v>137.49</v>
      </c>
      <c r="F115" s="6" t="s">
        <v>28</v>
      </c>
      <c r="G115" s="6">
        <v>1.2699999999999999E-2</v>
      </c>
      <c r="H115" s="6">
        <v>1.265475616591788E-2</v>
      </c>
      <c r="I115" s="13">
        <v>1.265475616591788</v>
      </c>
    </row>
    <row r="116" spans="1:9" x14ac:dyDescent="0.35">
      <c r="A116" s="7">
        <v>45828</v>
      </c>
      <c r="B116" s="6">
        <v>137.30000000000001</v>
      </c>
      <c r="C116" s="6">
        <v>140.69</v>
      </c>
      <c r="D116" s="6">
        <v>142.24</v>
      </c>
      <c r="E116" s="6">
        <v>136.74</v>
      </c>
      <c r="F116" s="6" t="s">
        <v>113</v>
      </c>
      <c r="G116" s="6">
        <v>-1.9E-2</v>
      </c>
      <c r="H116" s="6">
        <v>-1.91883547255619E-2</v>
      </c>
      <c r="I116" s="13">
        <v>-1.91883547255619</v>
      </c>
    </row>
    <row r="117" spans="1:9" x14ac:dyDescent="0.35">
      <c r="A117" s="7">
        <v>45831</v>
      </c>
      <c r="B117" s="6">
        <v>139.91999999999999</v>
      </c>
      <c r="C117" s="6">
        <v>138.9</v>
      </c>
      <c r="D117" s="6">
        <v>142.15</v>
      </c>
      <c r="E117" s="6">
        <v>135.96</v>
      </c>
      <c r="F117" s="6" t="s">
        <v>112</v>
      </c>
      <c r="G117" s="6">
        <v>1.9099999999999999E-2</v>
      </c>
      <c r="H117" s="6">
        <v>1.8902517936421011E-2</v>
      </c>
      <c r="I117" s="13">
        <v>1.8902517936421011</v>
      </c>
    </row>
    <row r="118" spans="1:9" x14ac:dyDescent="0.35">
      <c r="A118" s="7">
        <v>45832</v>
      </c>
      <c r="B118" s="6">
        <v>143.22999999999999</v>
      </c>
      <c r="C118" s="6">
        <v>140.97999999999999</v>
      </c>
      <c r="D118" s="6">
        <v>143.66</v>
      </c>
      <c r="E118" s="6">
        <v>137.80000000000001</v>
      </c>
      <c r="F118" s="6" t="s">
        <v>111</v>
      </c>
      <c r="G118" s="6">
        <v>2.3699999999999999E-2</v>
      </c>
      <c r="H118" s="6">
        <v>2.3380899081427039E-2</v>
      </c>
      <c r="I118" s="13">
        <v>2.3380899081427038</v>
      </c>
    </row>
    <row r="119" spans="1:9" x14ac:dyDescent="0.35">
      <c r="A119" s="7">
        <v>45833</v>
      </c>
      <c r="B119" s="6">
        <v>142.9</v>
      </c>
      <c r="C119" s="6">
        <v>144.49</v>
      </c>
      <c r="D119" s="6">
        <v>147.66999999999999</v>
      </c>
      <c r="E119" s="6">
        <v>141.53</v>
      </c>
      <c r="F119" s="6" t="s">
        <v>110</v>
      </c>
      <c r="G119" s="6">
        <v>-2.3E-3</v>
      </c>
      <c r="H119" s="6">
        <v>-2.3066448559519192E-3</v>
      </c>
      <c r="I119" s="13">
        <v>-0.2306644855951919</v>
      </c>
    </row>
    <row r="120" spans="1:9" x14ac:dyDescent="0.35">
      <c r="A120" s="7">
        <v>45834</v>
      </c>
      <c r="B120" s="6">
        <v>144.25</v>
      </c>
      <c r="C120" s="6">
        <v>144.85</v>
      </c>
      <c r="D120" s="6">
        <v>148.21</v>
      </c>
      <c r="E120" s="6">
        <v>142.91</v>
      </c>
      <c r="F120" s="6" t="s">
        <v>109</v>
      </c>
      <c r="G120" s="6">
        <v>9.4000000000000004E-3</v>
      </c>
      <c r="H120" s="6">
        <v>9.4028204523871478E-3</v>
      </c>
      <c r="I120" s="13">
        <v>0.94028204523871484</v>
      </c>
    </row>
    <row r="121" spans="1:9" x14ac:dyDescent="0.35">
      <c r="A121" s="7">
        <v>45835</v>
      </c>
      <c r="B121" s="6">
        <v>130.74</v>
      </c>
      <c r="C121" s="6">
        <v>144.87</v>
      </c>
      <c r="D121" s="6">
        <v>144.97</v>
      </c>
      <c r="E121" s="6">
        <v>130.54</v>
      </c>
      <c r="F121" s="6" t="s">
        <v>108</v>
      </c>
      <c r="G121" s="6">
        <v>-9.3700000000000006E-2</v>
      </c>
      <c r="H121" s="6">
        <v>-9.8337287203625376E-2</v>
      </c>
      <c r="I121" s="13">
        <v>-9.8337287203625383</v>
      </c>
    </row>
    <row r="122" spans="1:9" x14ac:dyDescent="0.35">
      <c r="A122" s="7">
        <v>45838</v>
      </c>
      <c r="B122" s="6">
        <v>136.32</v>
      </c>
      <c r="C122" s="6">
        <v>137.79</v>
      </c>
      <c r="D122" s="6">
        <v>138.88</v>
      </c>
      <c r="E122" s="6">
        <v>134.80000000000001</v>
      </c>
      <c r="F122" s="6" t="s">
        <v>107</v>
      </c>
      <c r="G122" s="6">
        <v>4.2700000000000002E-2</v>
      </c>
      <c r="H122" s="6">
        <v>4.1794444896421951E-2</v>
      </c>
      <c r="I122" s="13">
        <v>4.1794444896421954</v>
      </c>
    </row>
    <row r="123" spans="1:9" x14ac:dyDescent="0.35">
      <c r="A123" s="7">
        <v>45839</v>
      </c>
      <c r="B123" s="6">
        <v>130.68</v>
      </c>
      <c r="C123" s="6">
        <v>135.27000000000001</v>
      </c>
      <c r="D123" s="6">
        <v>136.32</v>
      </c>
      <c r="E123" s="6">
        <v>128.51</v>
      </c>
      <c r="F123" s="6" t="s">
        <v>106</v>
      </c>
      <c r="G123" s="6">
        <v>-4.1399999999999999E-2</v>
      </c>
      <c r="H123" s="6">
        <v>-4.2253476348136101E-2</v>
      </c>
      <c r="I123" s="13">
        <v>-4.2253476348136099</v>
      </c>
    </row>
    <row r="124" spans="1:9" x14ac:dyDescent="0.35">
      <c r="A124" s="7">
        <v>45840</v>
      </c>
      <c r="B124" s="6">
        <v>132.12</v>
      </c>
      <c r="C124" s="6">
        <v>131.47</v>
      </c>
      <c r="D124" s="6">
        <v>133.6</v>
      </c>
      <c r="E124" s="6">
        <v>130.19</v>
      </c>
      <c r="F124" s="6" t="s">
        <v>105</v>
      </c>
      <c r="G124" s="6">
        <v>1.0999999999999999E-2</v>
      </c>
      <c r="H124" s="6">
        <v>1.095901378971938E-2</v>
      </c>
      <c r="I124" s="13">
        <v>1.0959013789719381</v>
      </c>
    </row>
    <row r="125" spans="1:9" x14ac:dyDescent="0.35">
      <c r="A125" s="7">
        <v>45841</v>
      </c>
      <c r="B125" s="6">
        <v>134.36000000000001</v>
      </c>
      <c r="C125" s="6">
        <v>134.36000000000001</v>
      </c>
      <c r="D125" s="6">
        <v>135.62</v>
      </c>
      <c r="E125" s="6">
        <v>132.51</v>
      </c>
      <c r="F125" s="6" t="s">
        <v>104</v>
      </c>
      <c r="G125" s="6">
        <v>1.7000000000000001E-2</v>
      </c>
      <c r="H125" s="6">
        <v>1.6812164221503261E-2</v>
      </c>
      <c r="I125" s="13">
        <v>1.681216422150327</v>
      </c>
    </row>
    <row r="126" spans="1:9" x14ac:dyDescent="0.35">
      <c r="A126" s="7">
        <v>45845</v>
      </c>
      <c r="B126" s="6">
        <v>139.12</v>
      </c>
      <c r="C126" s="6">
        <v>134.38</v>
      </c>
      <c r="D126" s="6">
        <v>139.29</v>
      </c>
      <c r="E126" s="6">
        <v>132.32</v>
      </c>
      <c r="F126" s="6" t="s">
        <v>103</v>
      </c>
      <c r="G126" s="6">
        <v>3.5400000000000001E-2</v>
      </c>
      <c r="H126" s="6">
        <v>3.4814105301935468E-2</v>
      </c>
      <c r="I126" s="13">
        <v>3.4814105301935481</v>
      </c>
    </row>
    <row r="127" spans="1:9" x14ac:dyDescent="0.35">
      <c r="A127" s="7">
        <v>45846</v>
      </c>
      <c r="B127" s="6">
        <v>139.71</v>
      </c>
      <c r="C127" s="6">
        <v>138.77000000000001</v>
      </c>
      <c r="D127" s="6">
        <v>139.85</v>
      </c>
      <c r="E127" s="6">
        <v>135.79</v>
      </c>
      <c r="F127" s="6" t="s">
        <v>102</v>
      </c>
      <c r="G127" s="6">
        <v>4.1999999999999997E-3</v>
      </c>
      <c r="H127" s="6">
        <v>4.2319756163680554E-3</v>
      </c>
      <c r="I127" s="13">
        <v>0.42319756163680561</v>
      </c>
    </row>
    <row r="128" spans="1:9" x14ac:dyDescent="0.35">
      <c r="A128" s="7">
        <v>45847</v>
      </c>
      <c r="B128" s="6">
        <v>143.13</v>
      </c>
      <c r="C128" s="6">
        <v>139.65</v>
      </c>
      <c r="D128" s="6">
        <v>143.16999999999999</v>
      </c>
      <c r="E128" s="6">
        <v>137.38999999999999</v>
      </c>
      <c r="F128" s="6" t="s">
        <v>101</v>
      </c>
      <c r="G128" s="6">
        <v>2.4500000000000001E-2</v>
      </c>
      <c r="H128" s="6">
        <v>2.4184462533729661E-2</v>
      </c>
      <c r="I128" s="13">
        <v>2.418446253372966</v>
      </c>
    </row>
    <row r="129" spans="1:9" x14ac:dyDescent="0.35">
      <c r="A129" s="7">
        <v>45848</v>
      </c>
      <c r="B129" s="6">
        <v>142.5</v>
      </c>
      <c r="C129" s="6">
        <v>143.31</v>
      </c>
      <c r="D129" s="6">
        <v>145.16</v>
      </c>
      <c r="E129" s="6">
        <v>139.53</v>
      </c>
      <c r="F129" s="6" t="s">
        <v>100</v>
      </c>
      <c r="G129" s="6">
        <v>-4.4000000000000003E-3</v>
      </c>
      <c r="H129" s="6">
        <v>-4.4113084874200853E-3</v>
      </c>
      <c r="I129" s="13">
        <v>-0.44113084874200847</v>
      </c>
    </row>
    <row r="130" spans="1:9" x14ac:dyDescent="0.35">
      <c r="A130" s="7">
        <v>45849</v>
      </c>
      <c r="B130" s="6">
        <v>142.1</v>
      </c>
      <c r="C130" s="6">
        <v>142.11000000000001</v>
      </c>
      <c r="D130" s="6">
        <v>144.58000000000001</v>
      </c>
      <c r="E130" s="6">
        <v>141.47</v>
      </c>
      <c r="F130" s="6" t="s">
        <v>99</v>
      </c>
      <c r="G130" s="6">
        <v>-2.8E-3</v>
      </c>
      <c r="H130" s="6">
        <v>-2.8109646056503159E-3</v>
      </c>
      <c r="I130" s="13">
        <v>-0.28109646056503163</v>
      </c>
    </row>
    <row r="131" spans="1:9" x14ac:dyDescent="0.35">
      <c r="A131" s="7">
        <v>45852</v>
      </c>
      <c r="B131" s="6">
        <v>149.15</v>
      </c>
      <c r="C131" s="6">
        <v>142.72</v>
      </c>
      <c r="D131" s="6">
        <v>149.57</v>
      </c>
      <c r="E131" s="6">
        <v>142.22</v>
      </c>
      <c r="F131" s="6" t="s">
        <v>98</v>
      </c>
      <c r="G131" s="6">
        <v>4.9599999999999998E-2</v>
      </c>
      <c r="H131" s="6">
        <v>4.8421475857702637E-2</v>
      </c>
      <c r="I131" s="13">
        <v>4.8421475857702641</v>
      </c>
    </row>
    <row r="132" spans="1:9" x14ac:dyDescent="0.35">
      <c r="A132" s="7">
        <v>45853</v>
      </c>
      <c r="B132" s="6">
        <v>148.58000000000001</v>
      </c>
      <c r="C132" s="6">
        <v>148.93</v>
      </c>
      <c r="D132" s="6">
        <v>150.62</v>
      </c>
      <c r="E132" s="6">
        <v>147.36000000000001</v>
      </c>
      <c r="F132" s="6" t="s">
        <v>97</v>
      </c>
      <c r="G132" s="6">
        <v>-3.8E-3</v>
      </c>
      <c r="H132" s="6">
        <v>-3.8289772370973512E-3</v>
      </c>
      <c r="I132" s="13">
        <v>-0.38289772370973513</v>
      </c>
    </row>
    <row r="133" spans="1:9" x14ac:dyDescent="0.35">
      <c r="A133" s="7">
        <v>45854</v>
      </c>
      <c r="B133" s="6">
        <v>150.91</v>
      </c>
      <c r="C133" s="6">
        <v>149.30000000000001</v>
      </c>
      <c r="D133" s="6">
        <v>151.51</v>
      </c>
      <c r="E133" s="6">
        <v>147.66999999999999</v>
      </c>
      <c r="F133" s="6" t="s">
        <v>96</v>
      </c>
      <c r="G133" s="6">
        <v>1.5699999999999999E-2</v>
      </c>
      <c r="H133" s="6">
        <v>1.5560098906798891E-2</v>
      </c>
      <c r="I133" s="13">
        <v>1.5560098906798889</v>
      </c>
    </row>
    <row r="134" spans="1:9" x14ac:dyDescent="0.35">
      <c r="A134" s="7">
        <v>45855</v>
      </c>
      <c r="B134" s="6">
        <v>153.99</v>
      </c>
      <c r="C134" s="6">
        <v>151.56</v>
      </c>
      <c r="D134" s="6">
        <v>155.68</v>
      </c>
      <c r="E134" s="6">
        <v>150.82</v>
      </c>
      <c r="F134" s="6" t="s">
        <v>95</v>
      </c>
      <c r="G134" s="6">
        <v>2.0400000000000001E-2</v>
      </c>
      <c r="H134" s="6">
        <v>2.0204032609862359E-2</v>
      </c>
      <c r="I134" s="13">
        <v>2.0204032609862361</v>
      </c>
    </row>
    <row r="135" spans="1:9" x14ac:dyDescent="0.35">
      <c r="A135" s="7">
        <v>45856</v>
      </c>
      <c r="B135" s="6">
        <v>153.52000000000001</v>
      </c>
      <c r="C135" s="6">
        <v>154.86000000000001</v>
      </c>
      <c r="D135" s="6">
        <v>154.91999999999999</v>
      </c>
      <c r="E135" s="6">
        <v>151.9</v>
      </c>
      <c r="F135" s="6" t="s">
        <v>94</v>
      </c>
      <c r="G135" s="6">
        <v>-3.0999999999999999E-3</v>
      </c>
      <c r="H135" s="6">
        <v>-3.056813540877027E-3</v>
      </c>
      <c r="I135" s="13">
        <v>-0.30568135408770258</v>
      </c>
    </row>
    <row r="136" spans="1:9" x14ac:dyDescent="0.35">
      <c r="A136" s="7">
        <v>45859</v>
      </c>
      <c r="B136" s="6">
        <v>151.79</v>
      </c>
      <c r="C136" s="6">
        <v>153.88</v>
      </c>
      <c r="D136" s="6">
        <v>155.44</v>
      </c>
      <c r="E136" s="6">
        <v>151.36000000000001</v>
      </c>
      <c r="F136" s="6" t="s">
        <v>93</v>
      </c>
      <c r="G136" s="6">
        <v>-1.1299999999999999E-2</v>
      </c>
      <c r="H136" s="6">
        <v>-1.1332865060676789E-2</v>
      </c>
      <c r="I136" s="13">
        <v>-1.1332865060676789</v>
      </c>
    </row>
    <row r="137" spans="1:9" x14ac:dyDescent="0.35">
      <c r="A137" s="7">
        <v>45860</v>
      </c>
      <c r="B137" s="6">
        <v>149.07</v>
      </c>
      <c r="C137" s="6">
        <v>150.85</v>
      </c>
      <c r="D137" s="6">
        <v>151.79</v>
      </c>
      <c r="E137" s="6">
        <v>145.06</v>
      </c>
      <c r="F137" s="6" t="s">
        <v>92</v>
      </c>
      <c r="G137" s="6">
        <v>-1.7899999999999999E-2</v>
      </c>
      <c r="H137" s="6">
        <v>-1.808199235642886E-2</v>
      </c>
      <c r="I137" s="13">
        <v>-1.808199235642886</v>
      </c>
    </row>
    <row r="138" spans="1:9" x14ac:dyDescent="0.35">
      <c r="A138" s="7">
        <v>45861</v>
      </c>
      <c r="B138" s="6">
        <v>154.63</v>
      </c>
      <c r="C138" s="6">
        <v>149.74</v>
      </c>
      <c r="D138" s="6">
        <v>155</v>
      </c>
      <c r="E138" s="6">
        <v>148.29</v>
      </c>
      <c r="F138" s="6" t="s">
        <v>91</v>
      </c>
      <c r="G138" s="6">
        <v>3.73E-2</v>
      </c>
      <c r="H138" s="6">
        <v>3.6619172205000272E-2</v>
      </c>
      <c r="I138" s="13">
        <v>3.661917220500027</v>
      </c>
    </row>
    <row r="139" spans="1:9" x14ac:dyDescent="0.35">
      <c r="A139" s="7">
        <v>45862</v>
      </c>
      <c r="B139" s="6">
        <v>154.86000000000001</v>
      </c>
      <c r="C139" s="6">
        <v>153.97999999999999</v>
      </c>
      <c r="D139" s="6">
        <v>155.63</v>
      </c>
      <c r="E139" s="6">
        <v>152.57</v>
      </c>
      <c r="F139" s="6" t="s">
        <v>90</v>
      </c>
      <c r="G139" s="6">
        <v>1.5E-3</v>
      </c>
      <c r="H139" s="6">
        <v>1.4863164712384279E-3</v>
      </c>
      <c r="I139" s="13">
        <v>0.1486316471238428</v>
      </c>
    </row>
    <row r="140" spans="1:9" x14ac:dyDescent="0.35">
      <c r="A140" s="7">
        <v>45863</v>
      </c>
      <c r="B140" s="6">
        <v>158.80000000000001</v>
      </c>
      <c r="C140" s="6">
        <v>155.63</v>
      </c>
      <c r="D140" s="6">
        <v>160.38999999999999</v>
      </c>
      <c r="E140" s="6">
        <v>155.58000000000001</v>
      </c>
      <c r="F140" s="6" t="s">
        <v>89</v>
      </c>
      <c r="G140" s="6">
        <v>2.5399999999999999E-2</v>
      </c>
      <c r="H140" s="6">
        <v>2.5124065854457929E-2</v>
      </c>
      <c r="I140" s="13">
        <v>2.5124065854457931</v>
      </c>
    </row>
    <row r="141" spans="1:9" x14ac:dyDescent="0.35">
      <c r="A141" s="7">
        <v>45866</v>
      </c>
      <c r="B141" s="6">
        <v>157.88</v>
      </c>
      <c r="C141" s="6">
        <v>159.88</v>
      </c>
      <c r="D141" s="6">
        <v>160.28</v>
      </c>
      <c r="E141" s="6">
        <v>153.04</v>
      </c>
      <c r="F141" s="6" t="s">
        <v>88</v>
      </c>
      <c r="G141" s="6">
        <v>-5.7999999999999996E-3</v>
      </c>
      <c r="H141" s="6">
        <v>-5.8102980183891003E-3</v>
      </c>
      <c r="I141" s="13">
        <v>-0.58102980183891006</v>
      </c>
    </row>
    <row r="142" spans="1:9" x14ac:dyDescent="0.35">
      <c r="A142" s="7">
        <v>45867</v>
      </c>
      <c r="B142" s="6">
        <v>156.24</v>
      </c>
      <c r="C142" s="6">
        <v>158.71</v>
      </c>
      <c r="D142" s="6">
        <v>160.13999999999999</v>
      </c>
      <c r="E142" s="6">
        <v>154.91</v>
      </c>
      <c r="F142" s="6" t="s">
        <v>87</v>
      </c>
      <c r="G142" s="6">
        <v>-1.04E-2</v>
      </c>
      <c r="H142" s="6">
        <v>-1.044196422622279E-2</v>
      </c>
      <c r="I142" s="13">
        <v>-1.044196422622278</v>
      </c>
    </row>
    <row r="143" spans="1:9" x14ac:dyDescent="0.35">
      <c r="A143" s="7">
        <v>45868</v>
      </c>
      <c r="B143" s="6">
        <v>158.61000000000001</v>
      </c>
      <c r="C143" s="6">
        <v>157.37</v>
      </c>
      <c r="D143" s="6">
        <v>159.38</v>
      </c>
      <c r="E143" s="6">
        <v>156.56</v>
      </c>
      <c r="F143" s="6" t="s">
        <v>86</v>
      </c>
      <c r="G143" s="6">
        <v>1.52E-2</v>
      </c>
      <c r="H143" s="6">
        <v>1.505507234704498E-2</v>
      </c>
      <c r="I143" s="13">
        <v>1.505507234704498</v>
      </c>
    </row>
    <row r="144" spans="1:9" x14ac:dyDescent="0.35">
      <c r="A144" s="7">
        <v>45869</v>
      </c>
      <c r="B144" s="6">
        <v>158.35</v>
      </c>
      <c r="C144" s="6">
        <v>159.99</v>
      </c>
      <c r="D144" s="6">
        <v>160.88999999999999</v>
      </c>
      <c r="E144" s="6">
        <v>156.72999999999999</v>
      </c>
      <c r="F144" s="6" t="s">
        <v>85</v>
      </c>
      <c r="G144" s="6">
        <v>-1.6000000000000001E-3</v>
      </c>
      <c r="H144" s="6">
        <v>-1.6405859308198649E-3</v>
      </c>
      <c r="I144" s="13">
        <v>-0.1640585930819865</v>
      </c>
    </row>
    <row r="145" spans="1:9" x14ac:dyDescent="0.35">
      <c r="A145" s="7">
        <v>45870</v>
      </c>
      <c r="B145" s="6">
        <v>154.27000000000001</v>
      </c>
      <c r="C145" s="6">
        <v>155.05000000000001</v>
      </c>
      <c r="D145" s="6">
        <v>158.19</v>
      </c>
      <c r="E145" s="6">
        <v>151.06</v>
      </c>
      <c r="F145" s="6" t="s">
        <v>84</v>
      </c>
      <c r="G145" s="6">
        <v>-2.58E-2</v>
      </c>
      <c r="H145" s="6">
        <v>-2.6103458960800519E-2</v>
      </c>
      <c r="I145" s="13">
        <v>-2.6103458960800521</v>
      </c>
    </row>
    <row r="146" spans="1:9" x14ac:dyDescent="0.35">
      <c r="A146" s="7">
        <v>45873</v>
      </c>
      <c r="B146" s="6">
        <v>160.66</v>
      </c>
      <c r="C146" s="6">
        <v>158.53</v>
      </c>
      <c r="D146" s="6">
        <v>161.4</v>
      </c>
      <c r="E146" s="6">
        <v>157.93</v>
      </c>
      <c r="F146" s="6" t="s">
        <v>83</v>
      </c>
      <c r="G146" s="6">
        <v>4.1399999999999999E-2</v>
      </c>
      <c r="H146" s="6">
        <v>4.0586016721818177E-2</v>
      </c>
      <c r="I146" s="13">
        <v>4.0586016721818181</v>
      </c>
    </row>
    <row r="147" spans="1:9" x14ac:dyDescent="0.35">
      <c r="A147" s="7">
        <v>45874</v>
      </c>
      <c r="B147" s="6">
        <v>173.27</v>
      </c>
      <c r="C147" s="6">
        <v>171.81</v>
      </c>
      <c r="D147" s="6">
        <v>176.33</v>
      </c>
      <c r="E147" s="6">
        <v>169.22</v>
      </c>
      <c r="F147" s="6" t="s">
        <v>82</v>
      </c>
      <c r="G147" s="6">
        <v>7.85E-2</v>
      </c>
      <c r="H147" s="6">
        <v>7.5560740777088992E-2</v>
      </c>
      <c r="I147" s="13">
        <v>7.5560740777088986</v>
      </c>
    </row>
    <row r="148" spans="1:9" x14ac:dyDescent="0.35">
      <c r="A148" s="7">
        <v>45875</v>
      </c>
      <c r="B148" s="6">
        <v>179.54</v>
      </c>
      <c r="C148" s="6">
        <v>171.18</v>
      </c>
      <c r="D148" s="6">
        <v>180.58</v>
      </c>
      <c r="E148" s="6">
        <v>171.01</v>
      </c>
      <c r="F148" s="6" t="s">
        <v>81</v>
      </c>
      <c r="G148" s="6">
        <v>3.6200000000000003E-2</v>
      </c>
      <c r="H148" s="6">
        <v>3.5546952805786902E-2</v>
      </c>
      <c r="I148" s="13">
        <v>3.5546952805786902</v>
      </c>
    </row>
    <row r="149" spans="1:9" x14ac:dyDescent="0.35">
      <c r="A149" s="7">
        <v>45876</v>
      </c>
      <c r="B149" s="6">
        <v>182.2</v>
      </c>
      <c r="C149" s="6">
        <v>181.01</v>
      </c>
      <c r="D149" s="6">
        <v>184.48</v>
      </c>
      <c r="E149" s="6">
        <v>178.17</v>
      </c>
      <c r="F149" s="6" t="s">
        <v>80</v>
      </c>
      <c r="G149" s="6">
        <v>1.4800000000000001E-2</v>
      </c>
      <c r="H149" s="6">
        <v>1.4706960497315451E-2</v>
      </c>
      <c r="I149" s="13">
        <v>1.4706960497315451</v>
      </c>
    </row>
    <row r="150" spans="1:9" x14ac:dyDescent="0.35">
      <c r="A150" s="7">
        <v>45877</v>
      </c>
      <c r="B150" s="6">
        <v>186.96</v>
      </c>
      <c r="C150" s="6">
        <v>184.74</v>
      </c>
      <c r="D150" s="6">
        <v>187.99</v>
      </c>
      <c r="E150" s="6">
        <v>184.41</v>
      </c>
      <c r="F150" s="6" t="s">
        <v>74</v>
      </c>
      <c r="G150" s="6">
        <v>2.6100000000000002E-2</v>
      </c>
      <c r="H150" s="6">
        <v>2.578970540474463E-2</v>
      </c>
      <c r="I150" s="13">
        <v>2.5789705404744629</v>
      </c>
    </row>
    <row r="151" spans="1:9" x14ac:dyDescent="0.35">
      <c r="A151" s="7">
        <v>45880</v>
      </c>
      <c r="B151" s="6">
        <v>182.68</v>
      </c>
      <c r="C151" s="6">
        <v>186.47</v>
      </c>
      <c r="D151" s="6">
        <v>187.18</v>
      </c>
      <c r="E151" s="6">
        <v>181.92</v>
      </c>
      <c r="F151" s="6" t="s">
        <v>79</v>
      </c>
      <c r="G151" s="6">
        <v>-2.29E-2</v>
      </c>
      <c r="H151" s="6">
        <v>-2.3158701913804289E-2</v>
      </c>
      <c r="I151" s="13">
        <v>-2.3158701913804292</v>
      </c>
    </row>
    <row r="152" spans="1:9" x14ac:dyDescent="0.35">
      <c r="A152" s="7">
        <v>45881</v>
      </c>
      <c r="B152" s="6">
        <v>186.97</v>
      </c>
      <c r="C152" s="6">
        <v>184.7</v>
      </c>
      <c r="D152" s="6">
        <v>190</v>
      </c>
      <c r="E152" s="6">
        <v>182.1</v>
      </c>
      <c r="F152" s="6" t="s">
        <v>78</v>
      </c>
      <c r="G152" s="6">
        <v>2.35E-2</v>
      </c>
      <c r="H152" s="6">
        <v>2.3212187860384471E-2</v>
      </c>
      <c r="I152" s="13">
        <v>2.3212187860384468</v>
      </c>
    </row>
    <row r="153" spans="1:9" x14ac:dyDescent="0.35">
      <c r="A153" s="7">
        <v>45882</v>
      </c>
      <c r="B153" s="6">
        <v>184.37</v>
      </c>
      <c r="C153" s="6">
        <v>189</v>
      </c>
      <c r="D153" s="6">
        <v>189.46</v>
      </c>
      <c r="E153" s="6">
        <v>183.59</v>
      </c>
      <c r="F153" s="6" t="s">
        <v>77</v>
      </c>
      <c r="G153" s="6">
        <v>-1.3899999999999999E-2</v>
      </c>
      <c r="H153" s="6">
        <v>-1.4003568094883369E-2</v>
      </c>
      <c r="I153" s="13">
        <v>-1.400356809488337</v>
      </c>
    </row>
    <row r="154" spans="1:9" x14ac:dyDescent="0.35">
      <c r="A154" s="7">
        <v>45883</v>
      </c>
      <c r="B154" s="6">
        <v>181.02</v>
      </c>
      <c r="C154" s="6">
        <v>182.41</v>
      </c>
      <c r="D154" s="6">
        <v>185.33</v>
      </c>
      <c r="E154" s="6">
        <v>179.2</v>
      </c>
      <c r="F154" s="6" t="s">
        <v>76</v>
      </c>
      <c r="G154" s="6">
        <v>-1.8200000000000001E-2</v>
      </c>
      <c r="H154" s="6">
        <v>-1.8337085683274679E-2</v>
      </c>
      <c r="I154" s="13">
        <v>-1.8337085683274681</v>
      </c>
    </row>
    <row r="155" spans="1:9" x14ac:dyDescent="0.35">
      <c r="A155" s="7">
        <v>45884</v>
      </c>
      <c r="B155" s="6">
        <v>177.17</v>
      </c>
      <c r="C155" s="6">
        <v>179.73</v>
      </c>
      <c r="D155" s="6">
        <v>180</v>
      </c>
      <c r="E155" s="6">
        <v>173.38</v>
      </c>
      <c r="F155" s="6" t="s">
        <v>75</v>
      </c>
      <c r="G155" s="6">
        <v>-2.1299999999999999E-2</v>
      </c>
      <c r="H155" s="6">
        <v>-2.1497798786678839E-2</v>
      </c>
      <c r="I155" s="13">
        <v>-2.149779878667883</v>
      </c>
    </row>
    <row r="156" spans="1:9" x14ac:dyDescent="0.35">
      <c r="A156" s="7">
        <v>45887</v>
      </c>
      <c r="B156" s="6">
        <v>174.03</v>
      </c>
      <c r="C156" s="6">
        <v>175.27</v>
      </c>
      <c r="D156" s="6">
        <v>177.9</v>
      </c>
      <c r="E156" s="6">
        <v>171.39</v>
      </c>
      <c r="F156" s="6" t="s">
        <v>74</v>
      </c>
      <c r="G156" s="6">
        <v>-1.77E-2</v>
      </c>
      <c r="H156" s="6">
        <v>-1.788202546626327E-2</v>
      </c>
      <c r="I156" s="13">
        <v>-1.7882025466263269</v>
      </c>
    </row>
    <row r="157" spans="1:9" x14ac:dyDescent="0.35">
      <c r="A157" s="7">
        <v>45888</v>
      </c>
      <c r="B157" s="6">
        <v>157.75</v>
      </c>
      <c r="C157" s="6">
        <v>171.36</v>
      </c>
      <c r="D157" s="6">
        <v>172.3</v>
      </c>
      <c r="E157" s="6">
        <v>156.9</v>
      </c>
      <c r="F157" s="6" t="s">
        <v>73</v>
      </c>
      <c r="G157" s="6">
        <v>-9.35E-2</v>
      </c>
      <c r="H157" s="6">
        <v>-9.8216196724760174E-2</v>
      </c>
      <c r="I157" s="13">
        <v>-9.8216196724760181</v>
      </c>
    </row>
    <row r="158" spans="1:9" x14ac:dyDescent="0.35">
      <c r="A158" s="7">
        <v>45889</v>
      </c>
      <c r="B158" s="6">
        <v>156.01</v>
      </c>
      <c r="C158" s="6">
        <v>152.30000000000001</v>
      </c>
      <c r="D158" s="6">
        <v>156.46</v>
      </c>
      <c r="E158" s="6">
        <v>142.34</v>
      </c>
      <c r="F158" s="6" t="s">
        <v>72</v>
      </c>
      <c r="G158" s="6">
        <v>-1.0999999999999999E-2</v>
      </c>
      <c r="H158" s="6">
        <v>-1.109139366216454E-2</v>
      </c>
      <c r="I158" s="13">
        <v>-1.1091393662164539</v>
      </c>
    </row>
    <row r="159" spans="1:9" x14ac:dyDescent="0.35">
      <c r="A159" s="7">
        <v>45890</v>
      </c>
      <c r="B159" s="6">
        <v>156.18</v>
      </c>
      <c r="C159" s="6">
        <v>157.16999999999999</v>
      </c>
      <c r="D159" s="6">
        <v>157.97</v>
      </c>
      <c r="E159" s="6">
        <v>153.81</v>
      </c>
      <c r="F159" s="6" t="s">
        <v>71</v>
      </c>
      <c r="G159" s="6">
        <v>1.1000000000000001E-3</v>
      </c>
      <c r="H159" s="6">
        <v>1.089080475371108E-3</v>
      </c>
      <c r="I159" s="13">
        <v>0.10890804753711079</v>
      </c>
    </row>
    <row r="160" spans="1:9" x14ac:dyDescent="0.35">
      <c r="A160" s="7">
        <v>45891</v>
      </c>
      <c r="B160" s="6">
        <v>158.74</v>
      </c>
      <c r="C160" s="6">
        <v>155.32</v>
      </c>
      <c r="D160" s="6">
        <v>163.19999999999999</v>
      </c>
      <c r="E160" s="6">
        <v>151.77000000000001</v>
      </c>
      <c r="F160" s="6" t="s">
        <v>70</v>
      </c>
      <c r="G160" s="6">
        <v>1.6400000000000001E-2</v>
      </c>
      <c r="H160" s="6">
        <v>1.6258455428200449E-2</v>
      </c>
      <c r="I160" s="13">
        <v>1.6258455428200449</v>
      </c>
    </row>
    <row r="161" spans="1:9" x14ac:dyDescent="0.35">
      <c r="A161" s="7">
        <v>45894</v>
      </c>
      <c r="B161" s="6">
        <v>157.16999999999999</v>
      </c>
      <c r="C161" s="6">
        <v>156.1</v>
      </c>
      <c r="D161" s="6">
        <v>158.59</v>
      </c>
      <c r="E161" s="6">
        <v>149.37</v>
      </c>
      <c r="F161" s="6" t="s">
        <v>69</v>
      </c>
      <c r="G161" s="6">
        <v>-9.9000000000000008E-3</v>
      </c>
      <c r="H161" s="6">
        <v>-9.9396215744916357E-3</v>
      </c>
      <c r="I161" s="13">
        <v>-0.99396215744916361</v>
      </c>
    </row>
    <row r="162" spans="1:9" x14ac:dyDescent="0.35">
      <c r="A162" s="7">
        <v>45895</v>
      </c>
      <c r="B162" s="6">
        <v>160.87</v>
      </c>
      <c r="C162" s="6">
        <v>155.38999999999999</v>
      </c>
      <c r="D162" s="6">
        <v>162.13</v>
      </c>
      <c r="E162" s="6">
        <v>154.57</v>
      </c>
      <c r="F162" s="6" t="s">
        <v>68</v>
      </c>
      <c r="G162" s="6">
        <v>2.35E-2</v>
      </c>
      <c r="H162" s="6">
        <v>2.3268563313978519E-2</v>
      </c>
      <c r="I162" s="13">
        <v>2.3268563313978521</v>
      </c>
    </row>
    <row r="163" spans="1:9" x14ac:dyDescent="0.35">
      <c r="A163" s="7">
        <v>45896</v>
      </c>
      <c r="B163" s="6">
        <v>156.72</v>
      </c>
      <c r="C163" s="6">
        <v>162.32</v>
      </c>
      <c r="D163" s="6">
        <v>162.4</v>
      </c>
      <c r="E163" s="6">
        <v>155.97999999999999</v>
      </c>
      <c r="F163" s="6" t="s">
        <v>67</v>
      </c>
      <c r="G163" s="6">
        <v>-2.58E-2</v>
      </c>
      <c r="H163" s="6">
        <v>-2.6135811765931251E-2</v>
      </c>
      <c r="I163" s="13">
        <v>-2.6135811765931249</v>
      </c>
    </row>
    <row r="164" spans="1:9" x14ac:dyDescent="0.35">
      <c r="A164" s="7">
        <v>45897</v>
      </c>
      <c r="B164" s="6">
        <v>158.12</v>
      </c>
      <c r="C164" s="6">
        <v>157.63</v>
      </c>
      <c r="D164" s="6">
        <v>158.22999999999999</v>
      </c>
      <c r="E164" s="6">
        <v>152.55000000000001</v>
      </c>
      <c r="F164" s="6" t="s">
        <v>66</v>
      </c>
      <c r="G164" s="6">
        <v>8.8999999999999999E-3</v>
      </c>
      <c r="H164" s="6">
        <v>8.8934647921995111E-3</v>
      </c>
      <c r="I164" s="13">
        <v>0.88934647921995114</v>
      </c>
    </row>
    <row r="165" spans="1:9" x14ac:dyDescent="0.35">
      <c r="A165" s="7">
        <v>45898</v>
      </c>
      <c r="B165" s="6">
        <v>156.71</v>
      </c>
      <c r="C165" s="6">
        <v>156.97999999999999</v>
      </c>
      <c r="D165" s="6">
        <v>158.41999999999999</v>
      </c>
      <c r="E165" s="6">
        <v>153</v>
      </c>
      <c r="F165" s="6" t="s">
        <v>65</v>
      </c>
      <c r="G165" s="6">
        <v>-8.8999999999999999E-3</v>
      </c>
      <c r="H165" s="6">
        <v>-8.9572748933601024E-3</v>
      </c>
      <c r="I165" s="13">
        <v>-0.89572748933601021</v>
      </c>
    </row>
    <row r="166" spans="1:9" x14ac:dyDescent="0.35">
      <c r="A166" s="7">
        <v>45902</v>
      </c>
      <c r="B166" s="6">
        <v>157.09</v>
      </c>
      <c r="C166" s="6">
        <v>151.19999999999999</v>
      </c>
      <c r="D166" s="6">
        <v>158.38999999999999</v>
      </c>
      <c r="E166" s="6">
        <v>150.28</v>
      </c>
      <c r="F166" s="6" t="s">
        <v>64</v>
      </c>
      <c r="G166" s="6">
        <v>2.3999999999999998E-3</v>
      </c>
      <c r="H166" s="6">
        <v>2.4219259767236071E-3</v>
      </c>
      <c r="I166" s="13">
        <v>0.2421925976723607</v>
      </c>
    </row>
    <row r="167" spans="1:9" x14ac:dyDescent="0.35">
      <c r="A167" s="7">
        <v>45903</v>
      </c>
      <c r="B167" s="6">
        <v>154.9</v>
      </c>
      <c r="C167" s="6">
        <v>158</v>
      </c>
      <c r="D167" s="6">
        <v>161.15</v>
      </c>
      <c r="E167" s="6">
        <v>152.71</v>
      </c>
      <c r="F167" s="6" t="s">
        <v>63</v>
      </c>
      <c r="G167" s="6">
        <v>-1.3899999999999999E-2</v>
      </c>
      <c r="H167" s="6">
        <v>-1.403914208902542E-2</v>
      </c>
      <c r="I167" s="13">
        <v>-1.403914208902542</v>
      </c>
    </row>
    <row r="168" spans="1:9" x14ac:dyDescent="0.35">
      <c r="A168" s="7">
        <v>45904</v>
      </c>
      <c r="B168" s="6">
        <v>156.13999999999999</v>
      </c>
      <c r="C168" s="6">
        <v>154.87</v>
      </c>
      <c r="D168" s="6">
        <v>157.04</v>
      </c>
      <c r="E168" s="6">
        <v>153.16</v>
      </c>
      <c r="F168" s="6" t="s">
        <v>62</v>
      </c>
      <c r="G168" s="6">
        <v>8.0000000000000002E-3</v>
      </c>
      <c r="H168" s="6">
        <v>7.9732932693218558E-3</v>
      </c>
      <c r="I168" s="13">
        <v>0.79732932693218561</v>
      </c>
    </row>
    <row r="169" spans="1:9" x14ac:dyDescent="0.35">
      <c r="A169" s="7">
        <v>45905</v>
      </c>
      <c r="B169" s="6">
        <v>153.11000000000001</v>
      </c>
      <c r="C169" s="6">
        <v>157.82</v>
      </c>
      <c r="D169" s="6">
        <v>158.97</v>
      </c>
      <c r="E169" s="6">
        <v>148.04</v>
      </c>
      <c r="F169" s="6" t="s">
        <v>61</v>
      </c>
      <c r="G169" s="6">
        <v>-1.9400000000000001E-2</v>
      </c>
      <c r="H169" s="6">
        <v>-1.959642337514092E-2</v>
      </c>
      <c r="I169" s="13">
        <v>-1.9596423375140919</v>
      </c>
    </row>
    <row r="170" spans="1:9" x14ac:dyDescent="0.35">
      <c r="A170" s="7">
        <v>45908</v>
      </c>
      <c r="B170" s="6">
        <v>156.1</v>
      </c>
      <c r="C170" s="6">
        <v>154.91</v>
      </c>
      <c r="D170" s="6">
        <v>158.30000000000001</v>
      </c>
      <c r="E170" s="6">
        <v>154.84</v>
      </c>
      <c r="F170" s="6" t="s">
        <v>60</v>
      </c>
      <c r="G170" s="6">
        <v>1.95E-2</v>
      </c>
      <c r="H170" s="6">
        <v>1.9340210204382379E-2</v>
      </c>
      <c r="I170" s="13">
        <v>1.934021020438238</v>
      </c>
    </row>
    <row r="171" spans="1:9" x14ac:dyDescent="0.35">
      <c r="A171" s="7">
        <v>45909</v>
      </c>
      <c r="B171" s="6">
        <v>162.36000000000001</v>
      </c>
      <c r="C171" s="6">
        <v>157.25</v>
      </c>
      <c r="D171" s="6">
        <v>162.75</v>
      </c>
      <c r="E171" s="6">
        <v>156.37</v>
      </c>
      <c r="F171" s="6" t="s">
        <v>59</v>
      </c>
      <c r="G171" s="6">
        <v>4.0099999999999997E-2</v>
      </c>
      <c r="H171" s="6">
        <v>3.9319264449310658E-2</v>
      </c>
      <c r="I171" s="13">
        <v>3.931926444931066</v>
      </c>
    </row>
    <row r="172" spans="1:9" x14ac:dyDescent="0.35">
      <c r="A172" s="7">
        <v>45910</v>
      </c>
      <c r="B172" s="6">
        <v>166.74</v>
      </c>
      <c r="C172" s="6">
        <v>166</v>
      </c>
      <c r="D172" s="6">
        <v>169</v>
      </c>
      <c r="E172" s="6">
        <v>163.44</v>
      </c>
      <c r="F172" s="6" t="s">
        <v>58</v>
      </c>
      <c r="G172" s="6">
        <v>2.7E-2</v>
      </c>
      <c r="H172" s="6">
        <v>2.6619621011770261E-2</v>
      </c>
      <c r="I172" s="13">
        <v>2.6619621011770258</v>
      </c>
    </row>
    <row r="173" spans="1:9" x14ac:dyDescent="0.35">
      <c r="A173" s="7">
        <v>45911</v>
      </c>
      <c r="B173" s="6">
        <v>164.36</v>
      </c>
      <c r="C173" s="6">
        <v>167.24</v>
      </c>
      <c r="D173" s="6">
        <v>167.46</v>
      </c>
      <c r="E173" s="6">
        <v>163.22</v>
      </c>
      <c r="F173" s="6" t="s">
        <v>57</v>
      </c>
      <c r="G173" s="6">
        <v>-1.43E-2</v>
      </c>
      <c r="H173" s="6">
        <v>-1.4376568967258309E-2</v>
      </c>
      <c r="I173" s="13">
        <v>-1.437656896725831</v>
      </c>
    </row>
    <row r="174" spans="1:9" x14ac:dyDescent="0.35">
      <c r="A174" s="7">
        <v>45912</v>
      </c>
      <c r="B174" s="6">
        <v>171.43</v>
      </c>
      <c r="C174" s="6">
        <v>165.35</v>
      </c>
      <c r="D174" s="6">
        <v>171.53</v>
      </c>
      <c r="E174" s="6">
        <v>164.01</v>
      </c>
      <c r="F174" s="6" t="s">
        <v>56</v>
      </c>
      <c r="G174" s="6">
        <v>4.2999999999999997E-2</v>
      </c>
      <c r="H174" s="6">
        <v>4.211587600418068E-2</v>
      </c>
      <c r="I174" s="13">
        <v>4.2115876004180679</v>
      </c>
    </row>
    <row r="175" spans="1:9" x14ac:dyDescent="0.35">
      <c r="A175" s="7">
        <v>45915</v>
      </c>
      <c r="B175" s="6">
        <v>171.21</v>
      </c>
      <c r="C175" s="6">
        <v>169.6</v>
      </c>
      <c r="D175" s="6">
        <v>171.8</v>
      </c>
      <c r="E175" s="6">
        <v>167.41</v>
      </c>
      <c r="F175" s="6" t="s">
        <v>55</v>
      </c>
      <c r="G175" s="6">
        <v>-1.2999999999999999E-3</v>
      </c>
      <c r="H175" s="6">
        <v>-1.2841468026632719E-3</v>
      </c>
      <c r="I175" s="13">
        <v>-0.12841468026632721</v>
      </c>
    </row>
    <row r="176" spans="1:9" x14ac:dyDescent="0.35">
      <c r="A176" s="7">
        <v>45916</v>
      </c>
      <c r="B176" s="6">
        <v>170.26</v>
      </c>
      <c r="C176" s="6">
        <v>171.04</v>
      </c>
      <c r="D176" s="6">
        <v>171.31</v>
      </c>
      <c r="E176" s="6">
        <v>168.96</v>
      </c>
      <c r="F176" s="6" t="s">
        <v>54</v>
      </c>
      <c r="G176" s="6">
        <v>-5.4999999999999997E-3</v>
      </c>
      <c r="H176" s="6">
        <v>-5.5641927608155147E-3</v>
      </c>
      <c r="I176" s="13">
        <v>-0.55641927608155151</v>
      </c>
    </row>
    <row r="177" spans="1:9" x14ac:dyDescent="0.35">
      <c r="A177" s="7">
        <v>45917</v>
      </c>
      <c r="B177" s="6">
        <v>168.33</v>
      </c>
      <c r="C177" s="6">
        <v>169.02</v>
      </c>
      <c r="D177" s="6">
        <v>169.68</v>
      </c>
      <c r="E177" s="6">
        <v>161.27000000000001</v>
      </c>
      <c r="F177" s="6" t="s">
        <v>53</v>
      </c>
      <c r="G177" s="6">
        <v>-1.1299999999999999E-2</v>
      </c>
      <c r="H177" s="6">
        <v>-1.1400342024920599E-2</v>
      </c>
      <c r="I177" s="13">
        <v>-1.14003420249206</v>
      </c>
    </row>
    <row r="178" spans="1:9" x14ac:dyDescent="0.35">
      <c r="A178" s="7">
        <v>45918</v>
      </c>
      <c r="B178" s="6">
        <v>176.97</v>
      </c>
      <c r="C178" s="6">
        <v>170.27</v>
      </c>
      <c r="D178" s="6">
        <v>178.8</v>
      </c>
      <c r="E178" s="6">
        <v>169.39</v>
      </c>
      <c r="F178" s="6" t="s">
        <v>52</v>
      </c>
      <c r="G178" s="6">
        <v>5.1299999999999998E-2</v>
      </c>
      <c r="H178" s="6">
        <v>5.0053888252103169E-2</v>
      </c>
      <c r="I178" s="13">
        <v>5.0053888252103169</v>
      </c>
    </row>
    <row r="179" spans="1:9" x14ac:dyDescent="0.35">
      <c r="A179" s="7">
        <v>45919</v>
      </c>
      <c r="B179" s="6">
        <v>182.39</v>
      </c>
      <c r="C179" s="6">
        <v>177.07</v>
      </c>
      <c r="D179" s="6">
        <v>184.42</v>
      </c>
      <c r="E179" s="6">
        <v>176.71</v>
      </c>
      <c r="F179" s="6" t="s">
        <v>51</v>
      </c>
      <c r="G179" s="6">
        <v>3.0599999999999999E-2</v>
      </c>
      <c r="H179" s="6">
        <v>3.0167024892812581E-2</v>
      </c>
      <c r="I179" s="13">
        <v>3.0167024892812582</v>
      </c>
    </row>
    <row r="180" spans="1:9" x14ac:dyDescent="0.35">
      <c r="A180" s="7">
        <v>45922</v>
      </c>
      <c r="B180" s="6">
        <v>179.33</v>
      </c>
      <c r="C180" s="6">
        <v>180.88</v>
      </c>
      <c r="D180" s="6">
        <v>182.25</v>
      </c>
      <c r="E180" s="6">
        <v>178.29</v>
      </c>
      <c r="F180" s="6" t="s">
        <v>50</v>
      </c>
      <c r="G180" s="6">
        <v>-1.6799999999999999E-2</v>
      </c>
      <c r="H180" s="6">
        <v>-1.6919567615573339E-2</v>
      </c>
      <c r="I180" s="13">
        <v>-1.6919567615573341</v>
      </c>
    </row>
    <row r="181" spans="1:9" x14ac:dyDescent="0.35">
      <c r="A181" s="7">
        <v>45923</v>
      </c>
      <c r="B181" s="6">
        <v>182.55</v>
      </c>
      <c r="C181" s="6">
        <v>182.51</v>
      </c>
      <c r="D181" s="6">
        <v>185.75</v>
      </c>
      <c r="E181" s="6">
        <v>177.01</v>
      </c>
      <c r="F181" s="6" t="s">
        <v>49</v>
      </c>
      <c r="G181" s="6">
        <v>1.7999999999999999E-2</v>
      </c>
      <c r="H181" s="6">
        <v>1.779642414131314E-2</v>
      </c>
      <c r="I181" s="13">
        <v>1.7796424141313141</v>
      </c>
    </row>
    <row r="182" spans="1:9" x14ac:dyDescent="0.35">
      <c r="A182" s="7">
        <v>45924</v>
      </c>
      <c r="B182" s="6">
        <v>179.56</v>
      </c>
      <c r="C182" s="6">
        <v>183.91</v>
      </c>
      <c r="D182" s="6">
        <v>184.85</v>
      </c>
      <c r="E182" s="6">
        <v>177.12</v>
      </c>
      <c r="F182" s="6" t="s">
        <v>48</v>
      </c>
      <c r="G182" s="6">
        <v>-1.6400000000000001E-2</v>
      </c>
      <c r="H182" s="6">
        <v>-1.6514694187914521E-2</v>
      </c>
      <c r="I182" s="13">
        <v>-1.651469418791452</v>
      </c>
    </row>
    <row r="183" spans="1:9" x14ac:dyDescent="0.35">
      <c r="A183" s="7">
        <v>45925</v>
      </c>
      <c r="B183" s="6">
        <v>179.12</v>
      </c>
      <c r="C183" s="6">
        <v>175.8</v>
      </c>
      <c r="D183" s="6">
        <v>184.32</v>
      </c>
      <c r="E183" s="6">
        <v>174.29</v>
      </c>
      <c r="F183" s="6" t="s">
        <v>47</v>
      </c>
      <c r="G183" s="6">
        <v>-2.5000000000000001E-3</v>
      </c>
      <c r="H183" s="6">
        <v>-2.4534416232319619E-3</v>
      </c>
      <c r="I183" s="13">
        <v>-0.2453441623231962</v>
      </c>
    </row>
    <row r="184" spans="1:9" x14ac:dyDescent="0.35">
      <c r="A184" s="7">
        <v>45926</v>
      </c>
      <c r="B184" s="6">
        <v>177.57</v>
      </c>
      <c r="C184" s="6">
        <v>179.05</v>
      </c>
      <c r="D184" s="6">
        <v>180.12</v>
      </c>
      <c r="E184" s="6">
        <v>174.91</v>
      </c>
      <c r="F184" s="6" t="s">
        <v>46</v>
      </c>
      <c r="G184" s="6">
        <v>-8.6999999999999994E-3</v>
      </c>
      <c r="H184" s="6">
        <v>-8.6910749197561168E-3</v>
      </c>
      <c r="I184" s="13">
        <v>-0.86910749197561166</v>
      </c>
    </row>
    <row r="185" spans="1:9" x14ac:dyDescent="0.35">
      <c r="A185" s="7">
        <v>45929</v>
      </c>
      <c r="B185" s="6">
        <v>178.86</v>
      </c>
      <c r="C185" s="6">
        <v>179.64</v>
      </c>
      <c r="D185" s="6">
        <v>181.48</v>
      </c>
      <c r="E185" s="6">
        <v>177.16</v>
      </c>
      <c r="F185" s="6" t="s">
        <v>45</v>
      </c>
      <c r="G185" s="6">
        <v>7.3000000000000001E-3</v>
      </c>
      <c r="H185" s="6">
        <v>7.2384795472919244E-3</v>
      </c>
      <c r="I185" s="13">
        <v>0.72384795472919239</v>
      </c>
    </row>
    <row r="186" spans="1:9" x14ac:dyDescent="0.35">
      <c r="A186" s="7">
        <v>45930</v>
      </c>
      <c r="B186" s="6">
        <v>182.42</v>
      </c>
      <c r="C186" s="6">
        <v>178.98</v>
      </c>
      <c r="D186" s="6">
        <v>182.77</v>
      </c>
      <c r="E186" s="6">
        <v>178.22</v>
      </c>
      <c r="F186" s="6" t="s">
        <v>44</v>
      </c>
      <c r="G186" s="6">
        <v>1.9900000000000001E-2</v>
      </c>
      <c r="H186" s="6">
        <v>1.9708343833977161E-2</v>
      </c>
      <c r="I186" s="13">
        <v>1.970834383397716</v>
      </c>
    </row>
    <row r="187" spans="1:9" x14ac:dyDescent="0.35">
      <c r="A187" s="7">
        <v>45931</v>
      </c>
      <c r="B187" s="6">
        <v>184.95</v>
      </c>
      <c r="C187" s="6">
        <v>181.32</v>
      </c>
      <c r="D187" s="6">
        <v>186.28</v>
      </c>
      <c r="E187" s="6">
        <v>179.5</v>
      </c>
      <c r="F187" s="6" t="s">
        <v>43</v>
      </c>
      <c r="G187" s="6">
        <v>1.3899999999999999E-2</v>
      </c>
      <c r="H187" s="6">
        <v>1.377379752645065E-2</v>
      </c>
      <c r="I187" s="13">
        <v>1.377379752645066</v>
      </c>
    </row>
    <row r="188" spans="1:9" x14ac:dyDescent="0.35">
      <c r="A188" s="7">
        <v>45932</v>
      </c>
      <c r="B188" s="6">
        <v>187.05</v>
      </c>
      <c r="C188" s="6">
        <v>186.7</v>
      </c>
      <c r="D188" s="6">
        <v>188.2</v>
      </c>
      <c r="E188" s="6">
        <v>182.95</v>
      </c>
      <c r="F188" s="6" t="s">
        <v>42</v>
      </c>
      <c r="G188" s="6">
        <v>1.14E-2</v>
      </c>
      <c r="H188" s="6">
        <v>1.1290442515692211E-2</v>
      </c>
      <c r="I188" s="13">
        <v>1.1290442515692209</v>
      </c>
    </row>
    <row r="189" spans="1:9" x14ac:dyDescent="0.35">
      <c r="A189" s="7">
        <v>45933</v>
      </c>
      <c r="B189" s="6">
        <v>173.07</v>
      </c>
      <c r="C189" s="6">
        <v>186.4</v>
      </c>
      <c r="D189" s="6">
        <v>186.84</v>
      </c>
      <c r="E189" s="6">
        <v>170.77</v>
      </c>
      <c r="F189" s="6" t="s">
        <v>41</v>
      </c>
      <c r="G189" s="6">
        <v>-7.4700000000000003E-2</v>
      </c>
      <c r="H189" s="6">
        <v>-7.767982385724749E-2</v>
      </c>
      <c r="I189" s="13">
        <v>-7.767982385724749</v>
      </c>
    </row>
    <row r="190" spans="1:9" x14ac:dyDescent="0.35">
      <c r="A190" s="7">
        <v>45936</v>
      </c>
      <c r="B190" s="6">
        <v>179.53</v>
      </c>
      <c r="C190" s="6">
        <v>179.18</v>
      </c>
      <c r="D190" s="6">
        <v>182.95</v>
      </c>
      <c r="E190" s="6">
        <v>177.83</v>
      </c>
      <c r="F190" s="6" t="s">
        <v>40</v>
      </c>
      <c r="G190" s="6">
        <v>3.73E-2</v>
      </c>
      <c r="H190" s="6">
        <v>3.6646187945829703E-2</v>
      </c>
      <c r="I190" s="13">
        <v>3.66461879458297</v>
      </c>
    </row>
    <row r="191" spans="1:9" x14ac:dyDescent="0.35">
      <c r="A191" s="7">
        <v>45937</v>
      </c>
      <c r="B191" s="6">
        <v>182.17</v>
      </c>
      <c r="C191" s="6">
        <v>180.31</v>
      </c>
      <c r="D191" s="6">
        <v>186.18</v>
      </c>
      <c r="E191" s="6">
        <v>179.42</v>
      </c>
      <c r="F191" s="6" t="s">
        <v>39</v>
      </c>
      <c r="G191" s="6">
        <v>1.47E-2</v>
      </c>
      <c r="H191" s="6">
        <v>1.459799216000001E-2</v>
      </c>
      <c r="I191" s="13">
        <v>1.4597992160000011</v>
      </c>
    </row>
    <row r="192" spans="1:9" x14ac:dyDescent="0.35">
      <c r="A192" s="7">
        <v>45938</v>
      </c>
      <c r="B192" s="6">
        <v>183.56</v>
      </c>
      <c r="C192" s="6">
        <v>182.8</v>
      </c>
      <c r="D192" s="6">
        <v>184.26</v>
      </c>
      <c r="E192" s="6">
        <v>181.2</v>
      </c>
      <c r="F192" s="6" t="s">
        <v>38</v>
      </c>
      <c r="G192" s="6">
        <v>7.6E-3</v>
      </c>
      <c r="H192" s="6">
        <v>7.6012724838952234E-3</v>
      </c>
      <c r="I192" s="13">
        <v>0.76012724838952228</v>
      </c>
    </row>
    <row r="193" spans="1:9" x14ac:dyDescent="0.35">
      <c r="A193" s="7">
        <v>45939</v>
      </c>
      <c r="B193" s="6">
        <v>185.47</v>
      </c>
      <c r="C193" s="6">
        <v>183.58</v>
      </c>
      <c r="D193" s="6">
        <v>187.62</v>
      </c>
      <c r="E193" s="6">
        <v>179.95</v>
      </c>
      <c r="F193" s="6" t="s">
        <v>37</v>
      </c>
      <c r="G193" s="6">
        <v>1.04E-2</v>
      </c>
      <c r="H193" s="6">
        <v>1.03515543745628E-2</v>
      </c>
      <c r="I193" s="13">
        <v>1.0351554374562799</v>
      </c>
    </row>
    <row r="194" spans="1:9" x14ac:dyDescent="0.35">
      <c r="A194" s="7">
        <v>45940</v>
      </c>
      <c r="B194" s="6">
        <v>175.44</v>
      </c>
      <c r="C194" s="6">
        <v>185.17</v>
      </c>
      <c r="D194" s="6">
        <v>187.1</v>
      </c>
      <c r="E194" s="6">
        <v>173.53</v>
      </c>
      <c r="F194" s="6" t="s">
        <v>36</v>
      </c>
      <c r="G194" s="6">
        <v>-5.4100000000000002E-2</v>
      </c>
      <c r="H194" s="6">
        <v>-5.5596039791562787E-2</v>
      </c>
      <c r="I194" s="13">
        <v>-5.5596039791562797</v>
      </c>
    </row>
    <row r="195" spans="1:9" x14ac:dyDescent="0.35">
      <c r="A195" s="7">
        <v>45943</v>
      </c>
      <c r="B195" s="6">
        <v>177.21</v>
      </c>
      <c r="C195" s="6">
        <v>178.68</v>
      </c>
      <c r="D195" s="6">
        <v>179.22</v>
      </c>
      <c r="E195" s="6">
        <v>173.45</v>
      </c>
      <c r="F195" s="6" t="s">
        <v>35</v>
      </c>
      <c r="G195" s="6">
        <v>1.01E-2</v>
      </c>
      <c r="H195" s="6">
        <v>1.003836587762086E-2</v>
      </c>
      <c r="I195" s="13">
        <v>1.0038365877620861</v>
      </c>
    </row>
    <row r="196" spans="1:9" x14ac:dyDescent="0.35">
      <c r="A196" s="7">
        <v>45944</v>
      </c>
      <c r="B196" s="6">
        <v>179.74</v>
      </c>
      <c r="C196" s="6">
        <v>176</v>
      </c>
      <c r="D196" s="6">
        <v>182.34</v>
      </c>
      <c r="E196" s="6">
        <v>170.82</v>
      </c>
      <c r="F196" s="6" t="s">
        <v>34</v>
      </c>
      <c r="G196" s="6">
        <v>1.43E-2</v>
      </c>
      <c r="H196" s="6">
        <v>1.4175892242973741E-2</v>
      </c>
      <c r="I196" s="13">
        <v>1.417589224297374</v>
      </c>
    </row>
    <row r="197" spans="1:9" x14ac:dyDescent="0.35">
      <c r="A197" s="7">
        <v>45945</v>
      </c>
      <c r="B197" s="6">
        <v>179.62</v>
      </c>
      <c r="C197" s="6">
        <v>181.65</v>
      </c>
      <c r="D197" s="6">
        <v>184.35</v>
      </c>
      <c r="E197" s="6">
        <v>176.02</v>
      </c>
      <c r="F197" s="6" t="s">
        <v>33</v>
      </c>
      <c r="G197" s="6">
        <v>-6.9999999999999999E-4</v>
      </c>
      <c r="H197" s="6">
        <v>-6.6785398742366707E-4</v>
      </c>
      <c r="I197" s="13">
        <v>-6.6785398742366706E-2</v>
      </c>
    </row>
    <row r="198" spans="1:9" x14ac:dyDescent="0.35">
      <c r="A198" s="7">
        <v>45946</v>
      </c>
      <c r="B198" s="6">
        <v>178.12</v>
      </c>
      <c r="C198" s="6">
        <v>181.78</v>
      </c>
      <c r="D198" s="6">
        <v>184.82</v>
      </c>
      <c r="E198" s="6">
        <v>176.45</v>
      </c>
      <c r="F198" s="6" t="s">
        <v>32</v>
      </c>
      <c r="G198" s="6">
        <v>-8.3999999999999995E-3</v>
      </c>
      <c r="H198" s="6">
        <v>-8.3860277893020238E-3</v>
      </c>
      <c r="I198" s="13">
        <v>-0.83860277893020241</v>
      </c>
    </row>
    <row r="199" spans="1:9" x14ac:dyDescent="0.35">
      <c r="A199" s="7">
        <v>45947</v>
      </c>
      <c r="B199" s="6">
        <v>178.15</v>
      </c>
      <c r="C199" s="6">
        <v>177.75</v>
      </c>
      <c r="D199" s="6">
        <v>181.59</v>
      </c>
      <c r="E199" s="6">
        <v>173.95</v>
      </c>
      <c r="F199" s="6" t="s">
        <v>31</v>
      </c>
      <c r="G199" s="6">
        <v>2.0000000000000001E-4</v>
      </c>
      <c r="H199" s="6">
        <v>1.6841159834332639E-4</v>
      </c>
      <c r="I199" s="13">
        <v>1.6841159834332649E-2</v>
      </c>
    </row>
    <row r="200" spans="1:9" x14ac:dyDescent="0.35">
      <c r="A200" s="7">
        <v>45950</v>
      </c>
      <c r="B200" s="6">
        <v>181.59</v>
      </c>
      <c r="C200" s="6">
        <v>179.49</v>
      </c>
      <c r="D200" s="6">
        <v>183.09</v>
      </c>
      <c r="E200" s="6">
        <v>177.44</v>
      </c>
      <c r="F200" s="6" t="s">
        <v>30</v>
      </c>
      <c r="G200" s="6">
        <v>1.9300000000000001E-2</v>
      </c>
      <c r="H200" s="6">
        <v>1.9125506519860391E-2</v>
      </c>
      <c r="I200" s="13">
        <v>1.9125506519860389</v>
      </c>
    </row>
    <row r="201" spans="1:9" x14ac:dyDescent="0.35">
      <c r="A201" s="7">
        <v>45951</v>
      </c>
      <c r="B201" s="6">
        <v>181.51</v>
      </c>
      <c r="C201" s="6">
        <v>182.06</v>
      </c>
      <c r="D201" s="6">
        <v>182.39</v>
      </c>
      <c r="E201" s="6">
        <v>178.65</v>
      </c>
      <c r="F201" s="6" t="s">
        <v>29</v>
      </c>
      <c r="G201" s="6">
        <v>-4.0000000000000002E-4</v>
      </c>
      <c r="H201" s="6">
        <v>-4.4064996581931199E-4</v>
      </c>
      <c r="I201" s="13">
        <v>-4.40649965819312E-2</v>
      </c>
    </row>
    <row r="202" spans="1:9" x14ac:dyDescent="0.35">
      <c r="A202" s="7">
        <v>45952</v>
      </c>
      <c r="B202" s="6">
        <v>175.49</v>
      </c>
      <c r="C202" s="6">
        <v>181.93</v>
      </c>
      <c r="D202" s="6">
        <v>182.21</v>
      </c>
      <c r="E202" s="6">
        <v>169.42</v>
      </c>
      <c r="F202" s="6" t="s">
        <v>28</v>
      </c>
      <c r="G202" s="6">
        <v>-3.32E-2</v>
      </c>
      <c r="H202" s="6">
        <v>-3.3728687380370888E-2</v>
      </c>
      <c r="I202" s="13">
        <v>-3.3728687380370901</v>
      </c>
    </row>
    <row r="203" spans="1:9" x14ac:dyDescent="0.35">
      <c r="A203" s="7">
        <v>45953</v>
      </c>
      <c r="B203" s="6">
        <v>180.48</v>
      </c>
      <c r="C203" s="6">
        <v>175.45</v>
      </c>
      <c r="D203" s="6">
        <v>181.56</v>
      </c>
      <c r="E203" s="6">
        <v>175.01</v>
      </c>
      <c r="F203" s="6" t="s">
        <v>27</v>
      </c>
      <c r="G203" s="6">
        <v>2.8400000000000002E-2</v>
      </c>
      <c r="H203" s="6">
        <v>2.8037907084178651E-2</v>
      </c>
      <c r="I203" s="13">
        <v>2.803790708417865</v>
      </c>
    </row>
    <row r="204" spans="1:9" x14ac:dyDescent="0.35">
      <c r="A204" s="7">
        <v>45954</v>
      </c>
      <c r="B204" s="6">
        <v>184.63</v>
      </c>
      <c r="C204" s="6">
        <v>182.88</v>
      </c>
      <c r="D204" s="6">
        <v>186.17</v>
      </c>
      <c r="E204" s="6">
        <v>182.85</v>
      </c>
      <c r="F204" s="6" t="s">
        <v>26</v>
      </c>
      <c r="G204" s="6">
        <v>2.3E-2</v>
      </c>
      <c r="H204" s="6">
        <v>2.2733854097957671E-2</v>
      </c>
      <c r="I204" s="13">
        <v>2.2733854097957669</v>
      </c>
    </row>
    <row r="205" spans="1:9" x14ac:dyDescent="0.35">
      <c r="A205" s="7">
        <v>45957</v>
      </c>
      <c r="B205" s="6">
        <v>189.18</v>
      </c>
      <c r="C205" s="6">
        <v>188.97</v>
      </c>
      <c r="D205" s="6">
        <v>192.83</v>
      </c>
      <c r="E205" s="6">
        <v>187.52</v>
      </c>
      <c r="F205" s="6" t="s">
        <v>25</v>
      </c>
      <c r="G205" s="6">
        <v>2.46E-2</v>
      </c>
      <c r="H205" s="6">
        <v>2.434512037737285E-2</v>
      </c>
      <c r="I205" s="13">
        <v>2.4345120377372851</v>
      </c>
    </row>
    <row r="206" spans="1:9" x14ac:dyDescent="0.35">
      <c r="A206" s="7">
        <v>45958</v>
      </c>
      <c r="B206" s="6">
        <v>189.6</v>
      </c>
      <c r="C206" s="6">
        <v>189.48</v>
      </c>
      <c r="D206" s="6">
        <v>191.78</v>
      </c>
      <c r="E206" s="6">
        <v>186.78</v>
      </c>
      <c r="F206" s="6" t="s">
        <v>24</v>
      </c>
      <c r="G206" s="6">
        <v>2.2000000000000001E-3</v>
      </c>
      <c r="H206" s="6">
        <v>2.2176470358970129E-3</v>
      </c>
      <c r="I206" s="13">
        <v>0.2217647035897013</v>
      </c>
    </row>
    <row r="207" spans="1:9" x14ac:dyDescent="0.35">
      <c r="A207" s="7">
        <v>45959</v>
      </c>
      <c r="B207" s="6">
        <v>198.81</v>
      </c>
      <c r="C207" s="6">
        <v>191.08</v>
      </c>
      <c r="D207" s="6">
        <v>199.85</v>
      </c>
      <c r="E207" s="6">
        <v>190.49</v>
      </c>
      <c r="F207" s="6" t="s">
        <v>23</v>
      </c>
      <c r="G207" s="6">
        <v>4.8599999999999997E-2</v>
      </c>
      <c r="H207" s="6">
        <v>4.7433004947323901E-2</v>
      </c>
      <c r="I207" s="13">
        <v>4.7433004947323898</v>
      </c>
    </row>
    <row r="208" spans="1:9" x14ac:dyDescent="0.35">
      <c r="A208" s="7">
        <v>45960</v>
      </c>
      <c r="B208" s="6">
        <v>194.55</v>
      </c>
      <c r="C208" s="6">
        <v>198.43</v>
      </c>
      <c r="D208" s="6">
        <v>199.67</v>
      </c>
      <c r="E208" s="6">
        <v>194.12</v>
      </c>
      <c r="F208" s="6" t="s">
        <v>22</v>
      </c>
      <c r="G208" s="6">
        <v>-2.1399999999999999E-2</v>
      </c>
      <c r="H208" s="6">
        <v>-2.166039533768261E-2</v>
      </c>
      <c r="I208" s="13">
        <v>-2.1660395337682612</v>
      </c>
    </row>
    <row r="209" spans="1:9" x14ac:dyDescent="0.35">
      <c r="A209" s="7">
        <v>45961</v>
      </c>
      <c r="B209" s="6">
        <v>200.47</v>
      </c>
      <c r="C209" s="6">
        <v>199.2</v>
      </c>
      <c r="D209" s="6">
        <v>204.18</v>
      </c>
      <c r="E209" s="6">
        <v>197.92</v>
      </c>
      <c r="F209" s="6" t="s">
        <v>21</v>
      </c>
      <c r="G209" s="6">
        <v>3.04E-2</v>
      </c>
      <c r="H209" s="6">
        <v>2.9975410185822081E-2</v>
      </c>
      <c r="I209" s="13">
        <v>2.9975410185822078</v>
      </c>
    </row>
    <row r="210" spans="1:9" x14ac:dyDescent="0.35">
      <c r="A210" s="7">
        <v>45964</v>
      </c>
      <c r="B210" s="6">
        <v>207.18</v>
      </c>
      <c r="C210" s="6">
        <v>205.04</v>
      </c>
      <c r="D210" s="6">
        <v>207.52</v>
      </c>
      <c r="E210" s="6">
        <v>201.82</v>
      </c>
      <c r="F210" s="6" t="s">
        <v>20</v>
      </c>
      <c r="G210" s="6">
        <v>3.3500000000000002E-2</v>
      </c>
      <c r="H210" s="6">
        <v>3.2923371013571262E-2</v>
      </c>
      <c r="I210" s="13">
        <v>3.2923371013571261</v>
      </c>
    </row>
    <row r="211" spans="1:9" x14ac:dyDescent="0.35">
      <c r="A211" s="7">
        <v>45965</v>
      </c>
      <c r="B211" s="6">
        <v>190.74</v>
      </c>
      <c r="C211" s="6">
        <v>192.07</v>
      </c>
      <c r="D211" s="6">
        <v>195.7</v>
      </c>
      <c r="E211" s="6">
        <v>185.56</v>
      </c>
      <c r="F211" s="6" t="s">
        <v>19</v>
      </c>
      <c r="G211" s="6">
        <v>-7.9399999999999998E-2</v>
      </c>
      <c r="H211" s="6">
        <v>-8.2676736479189675E-2</v>
      </c>
      <c r="I211" s="13">
        <v>-8.2676736479189668</v>
      </c>
    </row>
    <row r="212" spans="1:9" x14ac:dyDescent="0.35">
      <c r="A212" s="7">
        <v>45966</v>
      </c>
      <c r="B212" s="6">
        <v>187.9</v>
      </c>
      <c r="C212" s="6">
        <v>189</v>
      </c>
      <c r="D212" s="6">
        <v>190.32</v>
      </c>
      <c r="E212" s="6">
        <v>181.21</v>
      </c>
      <c r="F212" s="6" t="s">
        <v>18</v>
      </c>
      <c r="G212" s="6">
        <v>-1.49E-2</v>
      </c>
      <c r="H212" s="6">
        <v>-1.5001337731346719E-2</v>
      </c>
      <c r="I212" s="13">
        <v>-1.500133773134672</v>
      </c>
    </row>
    <row r="213" spans="1:9" x14ac:dyDescent="0.35">
      <c r="A213" s="7">
        <v>45967</v>
      </c>
      <c r="B213" s="6">
        <v>175.05</v>
      </c>
      <c r="C213" s="6">
        <v>187.99</v>
      </c>
      <c r="D213" s="6">
        <v>191.09</v>
      </c>
      <c r="E213" s="6">
        <v>174.53</v>
      </c>
      <c r="F213" s="6" t="s">
        <v>17</v>
      </c>
      <c r="G213" s="6">
        <v>-6.8400000000000002E-2</v>
      </c>
      <c r="H213" s="6">
        <v>-7.0838259018744895E-2</v>
      </c>
      <c r="I213" s="13">
        <v>-7.0838259018744898</v>
      </c>
    </row>
    <row r="214" spans="1:9" x14ac:dyDescent="0.35">
      <c r="A214" s="7">
        <v>45968</v>
      </c>
      <c r="B214" s="6">
        <v>177.93</v>
      </c>
      <c r="C214" s="6">
        <v>173.15</v>
      </c>
      <c r="D214" s="6">
        <v>178.7</v>
      </c>
      <c r="E214" s="6">
        <v>168.91</v>
      </c>
      <c r="F214" s="6" t="s">
        <v>16</v>
      </c>
      <c r="G214" s="6">
        <v>1.6500000000000001E-2</v>
      </c>
      <c r="H214" s="6">
        <v>1.631856711807023E-2</v>
      </c>
      <c r="I214" s="13">
        <v>1.6318567118070231</v>
      </c>
    </row>
    <row r="215" spans="1:9" x14ac:dyDescent="0.35">
      <c r="A215" s="7">
        <v>45971</v>
      </c>
      <c r="B215" s="6">
        <v>193.61</v>
      </c>
      <c r="C215" s="6">
        <v>184.31</v>
      </c>
      <c r="D215" s="6">
        <v>194.93</v>
      </c>
      <c r="E215" s="6">
        <v>183.52</v>
      </c>
      <c r="F215" s="6" t="s">
        <v>15</v>
      </c>
      <c r="G215" s="6">
        <v>8.8099999999999998E-2</v>
      </c>
      <c r="H215" s="6">
        <v>8.4455611882328946E-2</v>
      </c>
      <c r="I215" s="13">
        <v>8.4455611882328938</v>
      </c>
    </row>
    <row r="216" spans="1:9" x14ac:dyDescent="0.35">
      <c r="A216" s="7">
        <v>45972</v>
      </c>
      <c r="B216" s="6">
        <v>190.96</v>
      </c>
      <c r="C216" s="6">
        <v>190.34</v>
      </c>
      <c r="D216" s="6">
        <v>192.93</v>
      </c>
      <c r="E216" s="6">
        <v>187.13</v>
      </c>
      <c r="F216" s="6" t="s">
        <v>14</v>
      </c>
      <c r="G216" s="6">
        <v>-1.37E-2</v>
      </c>
      <c r="H216" s="6">
        <v>-1.3781844370499331E-2</v>
      </c>
      <c r="I216" s="13">
        <v>-1.378184437049933</v>
      </c>
    </row>
    <row r="217" spans="1:9" x14ac:dyDescent="0.35">
      <c r="A217" s="7">
        <v>45973</v>
      </c>
      <c r="B217" s="6">
        <v>184.17</v>
      </c>
      <c r="C217" s="6">
        <v>190.58</v>
      </c>
      <c r="D217" s="6">
        <v>190.58</v>
      </c>
      <c r="E217" s="6">
        <v>180.4</v>
      </c>
      <c r="F217" s="6" t="s">
        <v>13</v>
      </c>
      <c r="G217" s="6">
        <v>-3.56E-2</v>
      </c>
      <c r="H217" s="6">
        <v>-3.6204737923060067E-2</v>
      </c>
      <c r="I217" s="13">
        <v>-3.6204737923060071</v>
      </c>
    </row>
    <row r="218" spans="1:9" x14ac:dyDescent="0.35">
      <c r="A218" s="7">
        <v>45974</v>
      </c>
      <c r="B218" s="6">
        <v>172.14</v>
      </c>
      <c r="C218" s="6">
        <v>181.71</v>
      </c>
      <c r="D218" s="6">
        <v>182.7</v>
      </c>
      <c r="E218" s="6">
        <v>170.73</v>
      </c>
      <c r="F218" s="6" t="s">
        <v>12</v>
      </c>
      <c r="G218" s="6">
        <v>-6.5299999999999997E-2</v>
      </c>
      <c r="H218" s="6">
        <v>-6.7551144886186257E-2</v>
      </c>
      <c r="I218" s="13">
        <v>-6.7551144886186254</v>
      </c>
    </row>
    <row r="219" spans="1:9" x14ac:dyDescent="0.35">
      <c r="A219" s="7">
        <v>45975</v>
      </c>
      <c r="B219" s="6">
        <v>174.01</v>
      </c>
      <c r="C219" s="6">
        <v>166.98</v>
      </c>
      <c r="D219" s="6">
        <v>177.29</v>
      </c>
      <c r="E219" s="6">
        <v>164.5</v>
      </c>
      <c r="F219" s="6" t="s">
        <v>11</v>
      </c>
      <c r="G219" s="6">
        <v>1.09E-2</v>
      </c>
      <c r="H219" s="6">
        <v>1.0804669606158579E-2</v>
      </c>
      <c r="I219" s="13">
        <v>1.0804669606158579</v>
      </c>
    </row>
    <row r="220" spans="1:9" x14ac:dyDescent="0.35">
      <c r="A220" s="7">
        <v>45978</v>
      </c>
      <c r="B220" s="6">
        <v>171.25</v>
      </c>
      <c r="C220" s="6">
        <v>170.53</v>
      </c>
      <c r="D220" s="6">
        <v>174.24</v>
      </c>
      <c r="E220" s="6">
        <v>167.68</v>
      </c>
      <c r="F220" s="6" t="s">
        <v>10</v>
      </c>
      <c r="G220" s="6">
        <v>-1.5900000000000001E-2</v>
      </c>
      <c r="H220" s="6">
        <v>-1.598829168515228E-2</v>
      </c>
      <c r="I220" s="13">
        <v>-1.598829168515228</v>
      </c>
    </row>
    <row r="221" spans="1:9" x14ac:dyDescent="0.35">
      <c r="A221" s="7">
        <v>45979</v>
      </c>
      <c r="B221" s="6">
        <v>167.33</v>
      </c>
      <c r="C221" s="6">
        <v>168.37</v>
      </c>
      <c r="D221" s="6">
        <v>172.83</v>
      </c>
      <c r="E221" s="6">
        <v>165.5</v>
      </c>
      <c r="F221" s="6" t="s">
        <v>9</v>
      </c>
      <c r="G221" s="6">
        <v>-2.29E-2</v>
      </c>
      <c r="H221" s="6">
        <v>-2.3156566635852381E-2</v>
      </c>
      <c r="I221" s="13">
        <v>-2.315656663585238</v>
      </c>
    </row>
    <row r="222" spans="1:9" x14ac:dyDescent="0.35">
      <c r="A222" s="7">
        <v>45980</v>
      </c>
      <c r="B222" s="6">
        <v>165.42</v>
      </c>
      <c r="C222" s="6">
        <v>167.8</v>
      </c>
      <c r="D222" s="6">
        <v>169.6</v>
      </c>
      <c r="E222" s="6">
        <v>162.41999999999999</v>
      </c>
      <c r="F222" s="6" t="s">
        <v>8</v>
      </c>
      <c r="G222" s="6">
        <v>-1.14E-2</v>
      </c>
      <c r="H222" s="6">
        <v>-1.1480216242721971E-2</v>
      </c>
      <c r="I222" s="13">
        <v>-1.148021624272197</v>
      </c>
    </row>
    <row r="223" spans="1:9" x14ac:dyDescent="0.35">
      <c r="A223" s="7">
        <v>45981</v>
      </c>
      <c r="B223" s="6">
        <v>155.75</v>
      </c>
      <c r="C223" s="6">
        <v>172.07</v>
      </c>
      <c r="D223" s="6">
        <v>174.57</v>
      </c>
      <c r="E223" s="6">
        <v>154.4</v>
      </c>
      <c r="F223" s="6" t="s">
        <v>7</v>
      </c>
      <c r="G223" s="6">
        <v>-5.8500000000000003E-2</v>
      </c>
      <c r="H223" s="6">
        <v>-6.0235536596197722E-2</v>
      </c>
      <c r="I223" s="13">
        <v>-6.0235536596197718</v>
      </c>
    </row>
    <row r="225" spans="2:4" x14ac:dyDescent="0.35">
      <c r="B225" s="12" t="s">
        <v>228</v>
      </c>
      <c r="C225" s="12" t="s">
        <v>229</v>
      </c>
    </row>
    <row r="226" spans="2:4" x14ac:dyDescent="0.35">
      <c r="B226" s="8" t="s">
        <v>230</v>
      </c>
      <c r="C226" s="6">
        <v>222</v>
      </c>
    </row>
    <row r="227" spans="2:4" x14ac:dyDescent="0.35">
      <c r="B227" s="8" t="s">
        <v>231</v>
      </c>
      <c r="C227" s="6">
        <v>3.2803329471965108E-3</v>
      </c>
      <c r="D227" s="11">
        <f t="shared" ref="D227:D233" si="0">C227</f>
        <v>3.2803329471965108E-3</v>
      </c>
    </row>
    <row r="228" spans="2:4" x14ac:dyDescent="0.35">
      <c r="B228" s="8" t="s">
        <v>232</v>
      </c>
      <c r="C228" s="6">
        <v>4.366217809763507E-2</v>
      </c>
      <c r="D228" s="11">
        <f t="shared" si="0"/>
        <v>4.366217809763507E-2</v>
      </c>
    </row>
    <row r="229" spans="2:4" x14ac:dyDescent="0.35">
      <c r="B229" s="8" t="s">
        <v>233</v>
      </c>
      <c r="C229" s="6">
        <v>-0.128362351545877</v>
      </c>
      <c r="D229" s="11">
        <f t="shared" si="0"/>
        <v>-0.128362351545877</v>
      </c>
    </row>
    <row r="230" spans="2:4" x14ac:dyDescent="0.35">
      <c r="B230" s="9">
        <v>0.25</v>
      </c>
      <c r="C230" s="6">
        <v>-1.7005531210073029E-2</v>
      </c>
      <c r="D230" s="11">
        <f t="shared" si="0"/>
        <v>-1.7005531210073029E-2</v>
      </c>
    </row>
    <row r="231" spans="2:4" x14ac:dyDescent="0.35">
      <c r="B231" s="9">
        <v>0.5</v>
      </c>
      <c r="C231" s="6">
        <v>6.4508250965129438E-3</v>
      </c>
      <c r="D231" s="11">
        <f t="shared" si="0"/>
        <v>6.4508250965129438E-3</v>
      </c>
    </row>
    <row r="232" spans="2:4" x14ac:dyDescent="0.35">
      <c r="B232" s="9">
        <v>0.75</v>
      </c>
      <c r="C232" s="6">
        <v>2.4304955916462052E-2</v>
      </c>
      <c r="D232" s="11">
        <f t="shared" si="0"/>
        <v>2.4304955916462052E-2</v>
      </c>
    </row>
    <row r="233" spans="2:4" x14ac:dyDescent="0.35">
      <c r="B233" s="8" t="s">
        <v>234</v>
      </c>
      <c r="C233" s="6">
        <v>0.21503818572436539</v>
      </c>
      <c r="D233" s="11">
        <f t="shared" si="0"/>
        <v>0.21503818572436539</v>
      </c>
    </row>
    <row r="234" spans="2:4" x14ac:dyDescent="0.35">
      <c r="B234" s="8" t="s">
        <v>235</v>
      </c>
      <c r="C234" s="6">
        <v>0.20237904974968751</v>
      </c>
    </row>
    <row r="235" spans="2:4" ht="14" customHeight="1" x14ac:dyDescent="0.35">
      <c r="B235" s="10" t="s">
        <v>236</v>
      </c>
      <c r="C235" s="6">
        <v>3.5255088946096489</v>
      </c>
    </row>
    <row r="236" spans="2:4" x14ac:dyDescent="0.35">
      <c r="B236" s="8" t="s">
        <v>237</v>
      </c>
      <c r="C236" s="6">
        <v>1.285635040251583</v>
      </c>
    </row>
  </sheetData>
  <conditionalFormatting sqref="B2:B2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4"/>
  <sheetViews>
    <sheetView topLeftCell="A224" workbookViewId="0">
      <selection activeCell="L11" sqref="L11"/>
    </sheetView>
  </sheetViews>
  <sheetFormatPr defaultRowHeight="14.5" x14ac:dyDescent="0.35"/>
  <cols>
    <col min="1" max="1" width="11.90625" customWidth="1"/>
  </cols>
  <sheetData>
    <row r="1" spans="1:7" x14ac:dyDescent="0.3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</row>
    <row r="2" spans="1:7" x14ac:dyDescent="0.35">
      <c r="A2" s="15">
        <v>45981</v>
      </c>
      <c r="B2" s="6">
        <v>395.23</v>
      </c>
      <c r="C2" s="6">
        <v>414.63</v>
      </c>
      <c r="D2" s="6">
        <v>428.94</v>
      </c>
      <c r="E2" s="6">
        <v>394.74</v>
      </c>
      <c r="F2" s="6" t="s">
        <v>238</v>
      </c>
      <c r="G2" s="16">
        <v>-2.1700000000000001E-2</v>
      </c>
    </row>
    <row r="3" spans="1:7" x14ac:dyDescent="0.35">
      <c r="A3" s="15">
        <v>45980</v>
      </c>
      <c r="B3" s="6">
        <v>403.99</v>
      </c>
      <c r="C3" s="6">
        <v>406.18</v>
      </c>
      <c r="D3" s="6">
        <v>411.78</v>
      </c>
      <c r="E3" s="6">
        <v>398.5</v>
      </c>
      <c r="F3" s="6" t="s">
        <v>239</v>
      </c>
      <c r="G3" s="16">
        <v>6.7999999999999996E-3</v>
      </c>
    </row>
    <row r="4" spans="1:7" x14ac:dyDescent="0.35">
      <c r="A4" s="15">
        <v>45979</v>
      </c>
      <c r="B4" s="6">
        <v>401.25</v>
      </c>
      <c r="C4" s="6">
        <v>405.38</v>
      </c>
      <c r="D4" s="6">
        <v>408.9</v>
      </c>
      <c r="E4" s="6">
        <v>393.71</v>
      </c>
      <c r="F4" s="6" t="s">
        <v>240</v>
      </c>
      <c r="G4" s="16">
        <v>-1.8800000000000001E-2</v>
      </c>
    </row>
    <row r="5" spans="1:7" x14ac:dyDescent="0.35">
      <c r="A5" s="15">
        <v>45978</v>
      </c>
      <c r="B5" s="6">
        <v>408.92</v>
      </c>
      <c r="C5" s="6">
        <v>398.74</v>
      </c>
      <c r="D5" s="6">
        <v>423.96</v>
      </c>
      <c r="E5" s="6">
        <v>398.74</v>
      </c>
      <c r="F5" s="6" t="s">
        <v>241</v>
      </c>
      <c r="G5" s="16">
        <v>1.1299999999999999E-2</v>
      </c>
    </row>
    <row r="6" spans="1:7" x14ac:dyDescent="0.35">
      <c r="A6" s="15">
        <v>45975</v>
      </c>
      <c r="B6" s="6">
        <v>404.35</v>
      </c>
      <c r="C6" s="6">
        <v>386.3</v>
      </c>
      <c r="D6" s="6">
        <v>412.19</v>
      </c>
      <c r="E6" s="6">
        <v>382.78</v>
      </c>
      <c r="F6" s="6" t="s">
        <v>242</v>
      </c>
      <c r="G6" s="16">
        <v>5.8999999999999999E-3</v>
      </c>
    </row>
    <row r="7" spans="1:7" x14ac:dyDescent="0.35">
      <c r="A7" s="15">
        <v>45974</v>
      </c>
      <c r="B7" s="6">
        <v>401.99</v>
      </c>
      <c r="C7" s="6">
        <v>423.13</v>
      </c>
      <c r="D7" s="6">
        <v>424.5</v>
      </c>
      <c r="E7" s="6">
        <v>396.34</v>
      </c>
      <c r="F7" s="6" t="s">
        <v>243</v>
      </c>
      <c r="G7" s="16">
        <v>-6.6400000000000001E-2</v>
      </c>
    </row>
    <row r="8" spans="1:7" x14ac:dyDescent="0.35">
      <c r="A8" s="15">
        <v>45973</v>
      </c>
      <c r="B8" s="6">
        <v>430.6</v>
      </c>
      <c r="C8" s="6">
        <v>442.15</v>
      </c>
      <c r="D8" s="6">
        <v>442.33</v>
      </c>
      <c r="E8" s="6">
        <v>426.56</v>
      </c>
      <c r="F8" s="6" t="s">
        <v>244</v>
      </c>
      <c r="G8" s="16">
        <v>-2.0500000000000001E-2</v>
      </c>
    </row>
    <row r="9" spans="1:7" x14ac:dyDescent="0.35">
      <c r="A9" s="15">
        <v>45972</v>
      </c>
      <c r="B9" s="6">
        <v>439.62</v>
      </c>
      <c r="C9" s="6">
        <v>439.4</v>
      </c>
      <c r="D9" s="6">
        <v>442.49</v>
      </c>
      <c r="E9" s="6">
        <v>432.36</v>
      </c>
      <c r="F9" s="6" t="s">
        <v>245</v>
      </c>
      <c r="G9" s="16">
        <v>-1.26E-2</v>
      </c>
    </row>
    <row r="10" spans="1:7" x14ac:dyDescent="0.35">
      <c r="A10" s="15">
        <v>45971</v>
      </c>
      <c r="B10" s="6">
        <v>445.23</v>
      </c>
      <c r="C10" s="6">
        <v>439.6</v>
      </c>
      <c r="D10" s="6">
        <v>449.67</v>
      </c>
      <c r="E10" s="6">
        <v>433.36</v>
      </c>
      <c r="F10" s="6" t="s">
        <v>246</v>
      </c>
      <c r="G10" s="16">
        <v>3.6600000000000001E-2</v>
      </c>
    </row>
    <row r="11" spans="1:7" x14ac:dyDescent="0.35">
      <c r="A11" s="15">
        <v>45968</v>
      </c>
      <c r="B11" s="6">
        <v>429.52</v>
      </c>
      <c r="C11" s="6">
        <v>437.92</v>
      </c>
      <c r="D11" s="6">
        <v>439.36</v>
      </c>
      <c r="E11" s="6">
        <v>421.88</v>
      </c>
      <c r="F11" s="6" t="s">
        <v>247</v>
      </c>
      <c r="G11" s="16">
        <v>-3.6799999999999999E-2</v>
      </c>
    </row>
    <row r="12" spans="1:7" x14ac:dyDescent="0.35">
      <c r="A12" s="15">
        <v>45967</v>
      </c>
      <c r="B12" s="6">
        <v>445.91</v>
      </c>
      <c r="C12" s="6">
        <v>461.96</v>
      </c>
      <c r="D12" s="6">
        <v>467.45</v>
      </c>
      <c r="E12" s="6">
        <v>435.09</v>
      </c>
      <c r="F12" s="6" t="s">
        <v>248</v>
      </c>
      <c r="G12" s="16">
        <v>-3.5000000000000003E-2</v>
      </c>
    </row>
    <row r="13" spans="1:7" x14ac:dyDescent="0.35">
      <c r="A13" s="15">
        <v>45966</v>
      </c>
      <c r="B13" s="6">
        <v>462.07</v>
      </c>
      <c r="C13" s="6">
        <v>452.05</v>
      </c>
      <c r="D13" s="6">
        <v>466.33</v>
      </c>
      <c r="E13" s="6">
        <v>440.71</v>
      </c>
      <c r="F13" s="6" t="s">
        <v>249</v>
      </c>
      <c r="G13" s="16">
        <v>4.0099999999999997E-2</v>
      </c>
    </row>
    <row r="14" spans="1:7" x14ac:dyDescent="0.35">
      <c r="A14" s="15">
        <v>45965</v>
      </c>
      <c r="B14" s="6">
        <v>444.26</v>
      </c>
      <c r="C14" s="6">
        <v>454.46</v>
      </c>
      <c r="D14" s="6">
        <v>460.22</v>
      </c>
      <c r="E14" s="6">
        <v>443.6</v>
      </c>
      <c r="F14" s="6" t="s">
        <v>15</v>
      </c>
      <c r="G14" s="16">
        <v>-5.1499999999999997E-2</v>
      </c>
    </row>
    <row r="15" spans="1:7" x14ac:dyDescent="0.35">
      <c r="A15" s="15">
        <v>45964</v>
      </c>
      <c r="B15" s="6">
        <v>468.37</v>
      </c>
      <c r="C15" s="6">
        <v>455.99</v>
      </c>
      <c r="D15" s="6">
        <v>474.07</v>
      </c>
      <c r="E15" s="6">
        <v>453.8</v>
      </c>
      <c r="F15" s="6" t="s">
        <v>250</v>
      </c>
      <c r="G15" s="16">
        <v>2.5899999999999999E-2</v>
      </c>
    </row>
    <row r="16" spans="1:7" x14ac:dyDescent="0.35">
      <c r="A16" s="15">
        <v>45961</v>
      </c>
      <c r="B16" s="6">
        <v>456.56</v>
      </c>
      <c r="C16" s="6">
        <v>446.75</v>
      </c>
      <c r="D16" s="6">
        <v>458</v>
      </c>
      <c r="E16" s="6">
        <v>443.69</v>
      </c>
      <c r="F16" s="6" t="s">
        <v>251</v>
      </c>
      <c r="G16" s="16">
        <v>3.7400000000000003E-2</v>
      </c>
    </row>
    <row r="17" spans="1:7" x14ac:dyDescent="0.35">
      <c r="A17" s="15">
        <v>45960</v>
      </c>
      <c r="B17" s="6">
        <v>440.1</v>
      </c>
      <c r="C17" s="6">
        <v>451.05</v>
      </c>
      <c r="D17" s="6">
        <v>455.06</v>
      </c>
      <c r="E17" s="6">
        <v>439.61</v>
      </c>
      <c r="F17" s="6" t="s">
        <v>252</v>
      </c>
      <c r="G17" s="16">
        <v>-4.6399999999999997E-2</v>
      </c>
    </row>
    <row r="18" spans="1:7" x14ac:dyDescent="0.35">
      <c r="A18" s="15">
        <v>45959</v>
      </c>
      <c r="B18" s="6">
        <v>461.51</v>
      </c>
      <c r="C18" s="6">
        <v>462.5</v>
      </c>
      <c r="D18" s="6">
        <v>465.7</v>
      </c>
      <c r="E18" s="6">
        <v>452.65</v>
      </c>
      <c r="F18" s="6" t="s">
        <v>253</v>
      </c>
      <c r="G18" s="16">
        <v>2.0999999999999999E-3</v>
      </c>
    </row>
    <row r="19" spans="1:7" x14ac:dyDescent="0.35">
      <c r="A19" s="15">
        <v>45958</v>
      </c>
      <c r="B19" s="6">
        <v>460.55</v>
      </c>
      <c r="C19" s="6">
        <v>454.77</v>
      </c>
      <c r="D19" s="6">
        <v>467</v>
      </c>
      <c r="E19" s="6">
        <v>451.6</v>
      </c>
      <c r="F19" s="6" t="s">
        <v>254</v>
      </c>
      <c r="G19" s="16">
        <v>1.7999999999999999E-2</v>
      </c>
    </row>
    <row r="20" spans="1:7" x14ac:dyDescent="0.35">
      <c r="A20" s="15">
        <v>45957</v>
      </c>
      <c r="B20" s="6">
        <v>452.42</v>
      </c>
      <c r="C20" s="6">
        <v>439.98</v>
      </c>
      <c r="D20" s="6">
        <v>460.16</v>
      </c>
      <c r="E20" s="6">
        <v>438.69</v>
      </c>
      <c r="F20" s="6" t="s">
        <v>255</v>
      </c>
      <c r="G20" s="16">
        <v>4.3099999999999999E-2</v>
      </c>
    </row>
    <row r="21" spans="1:7" x14ac:dyDescent="0.35">
      <c r="A21" s="15">
        <v>45954</v>
      </c>
      <c r="B21" s="6">
        <v>433.72</v>
      </c>
      <c r="C21" s="6">
        <v>446.83</v>
      </c>
      <c r="D21" s="6">
        <v>451.68</v>
      </c>
      <c r="E21" s="6">
        <v>430.17</v>
      </c>
      <c r="F21" s="6" t="s">
        <v>256</v>
      </c>
      <c r="G21" s="16">
        <v>-3.4000000000000002E-2</v>
      </c>
    </row>
    <row r="22" spans="1:7" x14ac:dyDescent="0.35">
      <c r="A22" s="15">
        <v>45953</v>
      </c>
      <c r="B22" s="6">
        <v>448.98</v>
      </c>
      <c r="C22" s="6">
        <v>420</v>
      </c>
      <c r="D22" s="6">
        <v>449.4</v>
      </c>
      <c r="E22" s="6">
        <v>413.9</v>
      </c>
      <c r="F22" s="6" t="s">
        <v>257</v>
      </c>
      <c r="G22" s="16">
        <v>2.2800000000000001E-2</v>
      </c>
    </row>
    <row r="23" spans="1:7" x14ac:dyDescent="0.35">
      <c r="A23" s="15">
        <v>45952</v>
      </c>
      <c r="B23" s="6">
        <v>438.97</v>
      </c>
      <c r="C23" s="6">
        <v>443.45</v>
      </c>
      <c r="D23" s="6">
        <v>445.54</v>
      </c>
      <c r="E23" s="6">
        <v>429</v>
      </c>
      <c r="F23" s="6" t="s">
        <v>258</v>
      </c>
      <c r="G23" s="16">
        <v>-8.2000000000000007E-3</v>
      </c>
    </row>
    <row r="24" spans="1:7" x14ac:dyDescent="0.35">
      <c r="A24" s="15">
        <v>45951</v>
      </c>
      <c r="B24" s="6">
        <v>442.6</v>
      </c>
      <c r="C24" s="6">
        <v>445.76</v>
      </c>
      <c r="D24" s="6">
        <v>449.3</v>
      </c>
      <c r="E24" s="6">
        <v>442.05</v>
      </c>
      <c r="F24" s="6" t="s">
        <v>259</v>
      </c>
      <c r="G24" s="16">
        <v>-1.0800000000000001E-2</v>
      </c>
    </row>
    <row r="25" spans="1:7" x14ac:dyDescent="0.35">
      <c r="A25" s="15">
        <v>45950</v>
      </c>
      <c r="B25" s="6">
        <v>447.43</v>
      </c>
      <c r="C25" s="6">
        <v>443.86</v>
      </c>
      <c r="D25" s="6">
        <v>449.8</v>
      </c>
      <c r="E25" s="6">
        <v>440.61</v>
      </c>
      <c r="F25" s="6" t="s">
        <v>260</v>
      </c>
      <c r="G25" s="16">
        <v>1.8499999999999999E-2</v>
      </c>
    </row>
    <row r="26" spans="1:7" x14ac:dyDescent="0.35">
      <c r="A26" s="15">
        <v>45947</v>
      </c>
      <c r="B26" s="6">
        <v>439.31</v>
      </c>
      <c r="C26" s="6">
        <v>425.5</v>
      </c>
      <c r="D26" s="6">
        <v>441.46</v>
      </c>
      <c r="E26" s="6">
        <v>423.6</v>
      </c>
      <c r="F26" s="6" t="s">
        <v>261</v>
      </c>
      <c r="G26" s="16">
        <v>2.46E-2</v>
      </c>
    </row>
    <row r="27" spans="1:7" x14ac:dyDescent="0.35">
      <c r="A27" s="15">
        <v>45946</v>
      </c>
      <c r="B27" s="6">
        <v>428.75</v>
      </c>
      <c r="C27" s="6">
        <v>434.73</v>
      </c>
      <c r="D27" s="6">
        <v>439.35</v>
      </c>
      <c r="E27" s="6">
        <v>421.31</v>
      </c>
      <c r="F27" s="6" t="s">
        <v>262</v>
      </c>
      <c r="G27" s="16">
        <v>-1.47E-2</v>
      </c>
    </row>
    <row r="28" spans="1:7" x14ac:dyDescent="0.35">
      <c r="A28" s="15">
        <v>45945</v>
      </c>
      <c r="B28" s="6">
        <v>435.15</v>
      </c>
      <c r="C28" s="6">
        <v>434.9</v>
      </c>
      <c r="D28" s="6">
        <v>440.51</v>
      </c>
      <c r="E28" s="6">
        <v>426.33</v>
      </c>
      <c r="F28" s="6" t="s">
        <v>263</v>
      </c>
      <c r="G28" s="16">
        <v>1.38E-2</v>
      </c>
    </row>
    <row r="29" spans="1:7" x14ac:dyDescent="0.35">
      <c r="A29" s="15">
        <v>45944</v>
      </c>
      <c r="B29" s="6">
        <v>429.24</v>
      </c>
      <c r="C29" s="6">
        <v>426.79</v>
      </c>
      <c r="D29" s="6">
        <v>434.2</v>
      </c>
      <c r="E29" s="6">
        <v>417.86</v>
      </c>
      <c r="F29" s="6" t="s">
        <v>264</v>
      </c>
      <c r="G29" s="16">
        <v>-1.5299999999999999E-2</v>
      </c>
    </row>
    <row r="30" spans="1:7" x14ac:dyDescent="0.35">
      <c r="A30" s="15">
        <v>45943</v>
      </c>
      <c r="B30" s="6">
        <v>435.9</v>
      </c>
      <c r="C30" s="6">
        <v>423.53</v>
      </c>
      <c r="D30" s="6">
        <v>436.89</v>
      </c>
      <c r="E30" s="6">
        <v>419.7</v>
      </c>
      <c r="F30" s="6" t="s">
        <v>265</v>
      </c>
      <c r="G30" s="16">
        <v>5.4199999999999998E-2</v>
      </c>
    </row>
    <row r="31" spans="1:7" x14ac:dyDescent="0.35">
      <c r="A31" s="15">
        <v>45940</v>
      </c>
      <c r="B31" s="6">
        <v>413.49</v>
      </c>
      <c r="C31" s="6">
        <v>436.54</v>
      </c>
      <c r="D31" s="6">
        <v>443.13</v>
      </c>
      <c r="E31" s="6">
        <v>411.45</v>
      </c>
      <c r="F31" s="6" t="s">
        <v>266</v>
      </c>
      <c r="G31" s="16">
        <v>-5.0599999999999999E-2</v>
      </c>
    </row>
    <row r="32" spans="1:7" x14ac:dyDescent="0.35">
      <c r="A32" s="15">
        <v>45939</v>
      </c>
      <c r="B32" s="6">
        <v>435.54</v>
      </c>
      <c r="C32" s="6">
        <v>431.81</v>
      </c>
      <c r="D32" s="6">
        <v>436.35</v>
      </c>
      <c r="E32" s="6">
        <v>426.18</v>
      </c>
      <c r="F32" s="6" t="s">
        <v>267</v>
      </c>
      <c r="G32" s="16">
        <v>-7.1999999999999998E-3</v>
      </c>
    </row>
    <row r="33" spans="1:7" x14ac:dyDescent="0.35">
      <c r="A33" s="15">
        <v>45938</v>
      </c>
      <c r="B33" s="6">
        <v>438.69</v>
      </c>
      <c r="C33" s="6">
        <v>437.57</v>
      </c>
      <c r="D33" s="6">
        <v>441.33</v>
      </c>
      <c r="E33" s="6">
        <v>425.23</v>
      </c>
      <c r="F33" s="6" t="s">
        <v>268</v>
      </c>
      <c r="G33" s="16">
        <v>1.29E-2</v>
      </c>
    </row>
    <row r="34" spans="1:7" x14ac:dyDescent="0.35">
      <c r="A34" s="15">
        <v>45937</v>
      </c>
      <c r="B34" s="6">
        <v>433.09</v>
      </c>
      <c r="C34" s="6">
        <v>447.82</v>
      </c>
      <c r="D34" s="6">
        <v>452.68</v>
      </c>
      <c r="E34" s="6">
        <v>432.45</v>
      </c>
      <c r="F34" s="6" t="s">
        <v>269</v>
      </c>
      <c r="G34" s="16">
        <v>-4.4499999999999998E-2</v>
      </c>
    </row>
    <row r="35" spans="1:7" x14ac:dyDescent="0.35">
      <c r="A35" s="15">
        <v>45936</v>
      </c>
      <c r="B35" s="6">
        <v>453.25</v>
      </c>
      <c r="C35" s="6">
        <v>440.75</v>
      </c>
      <c r="D35" s="6">
        <v>453.55</v>
      </c>
      <c r="E35" s="6">
        <v>436.69</v>
      </c>
      <c r="F35" s="6" t="s">
        <v>270</v>
      </c>
      <c r="G35" s="16">
        <v>5.45E-2</v>
      </c>
    </row>
    <row r="36" spans="1:7" x14ac:dyDescent="0.35">
      <c r="A36" s="15">
        <v>45933</v>
      </c>
      <c r="B36" s="6">
        <v>429.83</v>
      </c>
      <c r="C36" s="6">
        <v>443.29</v>
      </c>
      <c r="D36" s="6">
        <v>446.77</v>
      </c>
      <c r="E36" s="6">
        <v>416.58</v>
      </c>
      <c r="F36" s="6" t="s">
        <v>271</v>
      </c>
      <c r="G36" s="16">
        <v>-1.4200000000000001E-2</v>
      </c>
    </row>
    <row r="37" spans="1:7" x14ac:dyDescent="0.35">
      <c r="A37" s="15">
        <v>45932</v>
      </c>
      <c r="B37" s="6">
        <v>436</v>
      </c>
      <c r="C37" s="6">
        <v>470.54</v>
      </c>
      <c r="D37" s="6">
        <v>470.75</v>
      </c>
      <c r="E37" s="6">
        <v>435.57</v>
      </c>
      <c r="F37" s="6" t="s">
        <v>272</v>
      </c>
      <c r="G37" s="16">
        <v>-5.11E-2</v>
      </c>
    </row>
    <row r="38" spans="1:7" x14ac:dyDescent="0.35">
      <c r="A38" s="15">
        <v>45931</v>
      </c>
      <c r="B38" s="6">
        <v>459.46</v>
      </c>
      <c r="C38" s="6">
        <v>443.8</v>
      </c>
      <c r="D38" s="6">
        <v>462.29</v>
      </c>
      <c r="E38" s="6">
        <v>440.75</v>
      </c>
      <c r="F38" s="6" t="s">
        <v>273</v>
      </c>
      <c r="G38" s="16">
        <v>3.3099999999999997E-2</v>
      </c>
    </row>
    <row r="39" spans="1:7" x14ac:dyDescent="0.35">
      <c r="A39" s="15">
        <v>45930</v>
      </c>
      <c r="B39" s="6">
        <v>444.72</v>
      </c>
      <c r="C39" s="6">
        <v>441.52</v>
      </c>
      <c r="D39" s="6">
        <v>445</v>
      </c>
      <c r="E39" s="6">
        <v>433.12</v>
      </c>
      <c r="F39" s="6" t="s">
        <v>274</v>
      </c>
      <c r="G39" s="16">
        <v>3.3999999999999998E-3</v>
      </c>
    </row>
    <row r="40" spans="1:7" x14ac:dyDescent="0.35">
      <c r="A40" s="15">
        <v>45929</v>
      </c>
      <c r="B40" s="6">
        <v>443.21</v>
      </c>
      <c r="C40" s="6">
        <v>444.35</v>
      </c>
      <c r="D40" s="6">
        <v>450.98</v>
      </c>
      <c r="E40" s="6">
        <v>439.5</v>
      </c>
      <c r="F40" s="6" t="s">
        <v>275</v>
      </c>
      <c r="G40" s="16">
        <v>6.4000000000000003E-3</v>
      </c>
    </row>
    <row r="41" spans="1:7" x14ac:dyDescent="0.35">
      <c r="A41" s="15">
        <v>45926</v>
      </c>
      <c r="B41" s="6">
        <v>440.4</v>
      </c>
      <c r="C41" s="6">
        <v>428.3</v>
      </c>
      <c r="D41" s="6">
        <v>440.47</v>
      </c>
      <c r="E41" s="6">
        <v>421.02</v>
      </c>
      <c r="F41" s="6" t="s">
        <v>276</v>
      </c>
      <c r="G41" s="16">
        <v>4.02E-2</v>
      </c>
    </row>
    <row r="42" spans="1:7" x14ac:dyDescent="0.35">
      <c r="A42" s="15">
        <v>45925</v>
      </c>
      <c r="B42" s="6">
        <v>423.39</v>
      </c>
      <c r="C42" s="6">
        <v>435.24</v>
      </c>
      <c r="D42" s="6">
        <v>435.35</v>
      </c>
      <c r="E42" s="6">
        <v>419.08</v>
      </c>
      <c r="F42" s="6" t="s">
        <v>277</v>
      </c>
      <c r="G42" s="16">
        <v>-4.3799999999999999E-2</v>
      </c>
    </row>
    <row r="43" spans="1:7" x14ac:dyDescent="0.35">
      <c r="A43" s="15">
        <v>45924</v>
      </c>
      <c r="B43" s="6">
        <v>442.79</v>
      </c>
      <c r="C43" s="6">
        <v>429.83</v>
      </c>
      <c r="D43" s="6">
        <v>444.21</v>
      </c>
      <c r="E43" s="6">
        <v>429.03</v>
      </c>
      <c r="F43" s="6" t="s">
        <v>278</v>
      </c>
      <c r="G43" s="16">
        <v>3.9800000000000002E-2</v>
      </c>
    </row>
    <row r="44" spans="1:7" x14ac:dyDescent="0.35">
      <c r="A44" s="15">
        <v>45923</v>
      </c>
      <c r="B44" s="6">
        <v>425.85</v>
      </c>
      <c r="C44" s="6">
        <v>439.88</v>
      </c>
      <c r="D44" s="6">
        <v>440.97</v>
      </c>
      <c r="E44" s="6">
        <v>423.72</v>
      </c>
      <c r="F44" s="6" t="s">
        <v>279</v>
      </c>
      <c r="G44" s="16">
        <v>-1.9300000000000001E-2</v>
      </c>
    </row>
    <row r="45" spans="1:7" x14ac:dyDescent="0.35">
      <c r="A45" s="15">
        <v>45922</v>
      </c>
      <c r="B45" s="6">
        <v>434.21</v>
      </c>
      <c r="C45" s="6">
        <v>431.11</v>
      </c>
      <c r="D45" s="6">
        <v>444.98</v>
      </c>
      <c r="E45" s="6">
        <v>429.13</v>
      </c>
      <c r="F45" s="6" t="s">
        <v>280</v>
      </c>
      <c r="G45" s="16">
        <v>1.9099999999999999E-2</v>
      </c>
    </row>
    <row r="46" spans="1:7" x14ac:dyDescent="0.35">
      <c r="A46" s="15">
        <v>45919</v>
      </c>
      <c r="B46" s="6">
        <v>426.07</v>
      </c>
      <c r="C46" s="6">
        <v>421.82</v>
      </c>
      <c r="D46" s="6">
        <v>429.47</v>
      </c>
      <c r="E46" s="6">
        <v>421.72</v>
      </c>
      <c r="F46" s="6" t="s">
        <v>278</v>
      </c>
      <c r="G46" s="16">
        <v>2.2100000000000002E-2</v>
      </c>
    </row>
    <row r="47" spans="1:7" x14ac:dyDescent="0.35">
      <c r="A47" s="15">
        <v>45918</v>
      </c>
      <c r="B47" s="6">
        <v>416.85</v>
      </c>
      <c r="C47" s="6">
        <v>428.86</v>
      </c>
      <c r="D47" s="6">
        <v>432.22</v>
      </c>
      <c r="E47" s="6">
        <v>416.56</v>
      </c>
      <c r="F47" s="6" t="s">
        <v>281</v>
      </c>
      <c r="G47" s="16">
        <v>-2.12E-2</v>
      </c>
    </row>
    <row r="48" spans="1:7" x14ac:dyDescent="0.35">
      <c r="A48" s="15">
        <v>45917</v>
      </c>
      <c r="B48" s="6">
        <v>425.86</v>
      </c>
      <c r="C48" s="6">
        <v>415.75</v>
      </c>
      <c r="D48" s="6">
        <v>428.31</v>
      </c>
      <c r="E48" s="6">
        <v>409.67</v>
      </c>
      <c r="F48" s="6" t="s">
        <v>282</v>
      </c>
      <c r="G48" s="16">
        <v>1.01E-2</v>
      </c>
    </row>
    <row r="49" spans="1:7" x14ac:dyDescent="0.35">
      <c r="A49" s="15">
        <v>45916</v>
      </c>
      <c r="B49" s="6">
        <v>421.62</v>
      </c>
      <c r="C49" s="6">
        <v>414.49</v>
      </c>
      <c r="D49" s="6">
        <v>423.25</v>
      </c>
      <c r="E49" s="6">
        <v>411.43</v>
      </c>
      <c r="F49" s="6" t="s">
        <v>283</v>
      </c>
      <c r="G49" s="16">
        <v>2.8199999999999999E-2</v>
      </c>
    </row>
    <row r="50" spans="1:7" x14ac:dyDescent="0.35">
      <c r="A50" s="15">
        <v>45915</v>
      </c>
      <c r="B50" s="6">
        <v>410.04</v>
      </c>
      <c r="C50" s="6">
        <v>423.13</v>
      </c>
      <c r="D50" s="6">
        <v>425.7</v>
      </c>
      <c r="E50" s="6">
        <v>402.43</v>
      </c>
      <c r="F50" s="6" t="s">
        <v>284</v>
      </c>
      <c r="G50" s="16">
        <v>3.56E-2</v>
      </c>
    </row>
    <row r="51" spans="1:7" x14ac:dyDescent="0.35">
      <c r="A51" s="15">
        <v>45912</v>
      </c>
      <c r="B51" s="6">
        <v>395.94</v>
      </c>
      <c r="C51" s="6">
        <v>370.94</v>
      </c>
      <c r="D51" s="6">
        <v>396.69</v>
      </c>
      <c r="E51" s="6">
        <v>370.24</v>
      </c>
      <c r="F51" s="6" t="s">
        <v>285</v>
      </c>
      <c r="G51" s="16">
        <v>7.3599999999999999E-2</v>
      </c>
    </row>
    <row r="52" spans="1:7" x14ac:dyDescent="0.35">
      <c r="A52" s="15">
        <v>45911</v>
      </c>
      <c r="B52" s="6">
        <v>368.81</v>
      </c>
      <c r="C52" s="6">
        <v>350.17</v>
      </c>
      <c r="D52" s="6">
        <v>368.99</v>
      </c>
      <c r="E52" s="6">
        <v>347.6</v>
      </c>
      <c r="F52" s="6" t="s">
        <v>286</v>
      </c>
      <c r="G52" s="16">
        <v>6.0400000000000002E-2</v>
      </c>
    </row>
    <row r="53" spans="1:7" x14ac:dyDescent="0.35">
      <c r="A53" s="15">
        <v>45910</v>
      </c>
      <c r="B53" s="6">
        <v>347.79</v>
      </c>
      <c r="C53" s="6">
        <v>350.55</v>
      </c>
      <c r="D53" s="6">
        <v>356.33</v>
      </c>
      <c r="E53" s="6">
        <v>346.07</v>
      </c>
      <c r="F53" s="6" t="s">
        <v>287</v>
      </c>
      <c r="G53" s="16">
        <v>2.3999999999999998E-3</v>
      </c>
    </row>
    <row r="54" spans="1:7" x14ac:dyDescent="0.35">
      <c r="A54" s="15">
        <v>45909</v>
      </c>
      <c r="B54" s="6">
        <v>346.97</v>
      </c>
      <c r="C54" s="6">
        <v>348.44</v>
      </c>
      <c r="D54" s="6">
        <v>350.77</v>
      </c>
      <c r="E54" s="6">
        <v>343.82</v>
      </c>
      <c r="F54" s="6" t="s">
        <v>288</v>
      </c>
      <c r="G54" s="16">
        <v>1.6000000000000001E-3</v>
      </c>
    </row>
    <row r="55" spans="1:7" x14ac:dyDescent="0.35">
      <c r="A55" s="15">
        <v>45908</v>
      </c>
      <c r="B55" s="6">
        <v>346.4</v>
      </c>
      <c r="C55" s="6">
        <v>354.64</v>
      </c>
      <c r="D55" s="6">
        <v>358.44</v>
      </c>
      <c r="E55" s="6">
        <v>344.84</v>
      </c>
      <c r="F55" s="6" t="s">
        <v>289</v>
      </c>
      <c r="G55" s="16">
        <v>-1.2699999999999999E-2</v>
      </c>
    </row>
    <row r="56" spans="1:7" x14ac:dyDescent="0.35">
      <c r="A56" s="15">
        <v>45905</v>
      </c>
      <c r="B56" s="6">
        <v>350.84</v>
      </c>
      <c r="C56" s="6">
        <v>348</v>
      </c>
      <c r="D56" s="6">
        <v>355.87</v>
      </c>
      <c r="E56" s="6">
        <v>344.68</v>
      </c>
      <c r="F56" s="6" t="s">
        <v>290</v>
      </c>
      <c r="G56" s="16">
        <v>3.6400000000000002E-2</v>
      </c>
    </row>
    <row r="57" spans="1:7" x14ac:dyDescent="0.35">
      <c r="A57" s="15">
        <v>45904</v>
      </c>
      <c r="B57" s="6">
        <v>338.53</v>
      </c>
      <c r="C57" s="6">
        <v>336.15</v>
      </c>
      <c r="D57" s="6">
        <v>338.89</v>
      </c>
      <c r="E57" s="6">
        <v>331.48</v>
      </c>
      <c r="F57" s="6" t="s">
        <v>291</v>
      </c>
      <c r="G57" s="16">
        <v>1.3299999999999999E-2</v>
      </c>
    </row>
    <row r="58" spans="1:7" x14ac:dyDescent="0.35">
      <c r="A58" s="15">
        <v>45903</v>
      </c>
      <c r="B58" s="6">
        <v>334.09</v>
      </c>
      <c r="C58" s="6">
        <v>335.2</v>
      </c>
      <c r="D58" s="6">
        <v>343.33</v>
      </c>
      <c r="E58" s="6">
        <v>328.51</v>
      </c>
      <c r="F58" s="6" t="s">
        <v>292</v>
      </c>
      <c r="G58" s="16">
        <v>1.44E-2</v>
      </c>
    </row>
    <row r="59" spans="1:7" x14ac:dyDescent="0.35">
      <c r="A59" s="15">
        <v>45902</v>
      </c>
      <c r="B59" s="6">
        <v>329.36</v>
      </c>
      <c r="C59" s="6">
        <v>328.23</v>
      </c>
      <c r="D59" s="6">
        <v>333.33</v>
      </c>
      <c r="E59" s="6">
        <v>325.60000000000002</v>
      </c>
      <c r="F59" s="6" t="s">
        <v>293</v>
      </c>
      <c r="G59" s="16">
        <v>-1.35E-2</v>
      </c>
    </row>
    <row r="60" spans="1:7" x14ac:dyDescent="0.35">
      <c r="A60" s="15">
        <v>45898</v>
      </c>
      <c r="B60" s="6">
        <v>333.87</v>
      </c>
      <c r="C60" s="6">
        <v>347.23</v>
      </c>
      <c r="D60" s="6">
        <v>348.75</v>
      </c>
      <c r="E60" s="6">
        <v>331.7</v>
      </c>
      <c r="F60" s="6" t="s">
        <v>294</v>
      </c>
      <c r="G60" s="16">
        <v>-3.5000000000000003E-2</v>
      </c>
    </row>
    <row r="61" spans="1:7" x14ac:dyDescent="0.35">
      <c r="A61" s="15">
        <v>45897</v>
      </c>
      <c r="B61" s="6">
        <v>345.98</v>
      </c>
      <c r="C61" s="6">
        <v>350.91</v>
      </c>
      <c r="D61" s="6">
        <v>353.55</v>
      </c>
      <c r="E61" s="6">
        <v>340.26</v>
      </c>
      <c r="F61" s="6" t="s">
        <v>295</v>
      </c>
      <c r="G61" s="16">
        <v>-1.04E-2</v>
      </c>
    </row>
    <row r="62" spans="1:7" x14ac:dyDescent="0.35">
      <c r="A62" s="15">
        <v>45896</v>
      </c>
      <c r="B62" s="6">
        <v>349.6</v>
      </c>
      <c r="C62" s="6">
        <v>351.94</v>
      </c>
      <c r="D62" s="6">
        <v>355.39</v>
      </c>
      <c r="E62" s="6">
        <v>349.16</v>
      </c>
      <c r="F62" s="6" t="s">
        <v>296</v>
      </c>
      <c r="G62" s="16">
        <v>-5.8999999999999999E-3</v>
      </c>
    </row>
    <row r="63" spans="1:7" x14ac:dyDescent="0.35">
      <c r="A63" s="15">
        <v>45895</v>
      </c>
      <c r="B63" s="6">
        <v>351.67</v>
      </c>
      <c r="C63" s="6">
        <v>344.93</v>
      </c>
      <c r="D63" s="6">
        <v>351.9</v>
      </c>
      <c r="E63" s="6">
        <v>343.72</v>
      </c>
      <c r="F63" s="6" t="s">
        <v>297</v>
      </c>
      <c r="G63" s="16">
        <v>1.46E-2</v>
      </c>
    </row>
    <row r="64" spans="1:7" x14ac:dyDescent="0.35">
      <c r="A64" s="15">
        <v>45894</v>
      </c>
      <c r="B64" s="6">
        <v>346.6</v>
      </c>
      <c r="C64" s="6">
        <v>338.9</v>
      </c>
      <c r="D64" s="6">
        <v>349.53</v>
      </c>
      <c r="E64" s="6">
        <v>335.03</v>
      </c>
      <c r="F64" s="6" t="s">
        <v>298</v>
      </c>
      <c r="G64" s="16">
        <v>1.9400000000000001E-2</v>
      </c>
    </row>
    <row r="65" spans="1:7" x14ac:dyDescent="0.35">
      <c r="A65" s="15">
        <v>45891</v>
      </c>
      <c r="B65" s="6">
        <v>340.01</v>
      </c>
      <c r="C65" s="6">
        <v>321.66000000000003</v>
      </c>
      <c r="D65" s="6">
        <v>340.25</v>
      </c>
      <c r="E65" s="6">
        <v>319.69</v>
      </c>
      <c r="F65" s="6" t="s">
        <v>299</v>
      </c>
      <c r="G65" s="16">
        <v>6.2199999999999998E-2</v>
      </c>
    </row>
    <row r="66" spans="1:7" x14ac:dyDescent="0.35">
      <c r="A66" s="15">
        <v>45890</v>
      </c>
      <c r="B66" s="6">
        <v>320.11</v>
      </c>
      <c r="C66" s="6">
        <v>322.08</v>
      </c>
      <c r="D66" s="6">
        <v>324.89999999999998</v>
      </c>
      <c r="E66" s="6">
        <v>318.68</v>
      </c>
      <c r="F66" s="6" t="s">
        <v>300</v>
      </c>
      <c r="G66" s="16">
        <v>-1.17E-2</v>
      </c>
    </row>
    <row r="67" spans="1:7" x14ac:dyDescent="0.35">
      <c r="A67" s="15">
        <v>45889</v>
      </c>
      <c r="B67" s="6">
        <v>323.89999999999998</v>
      </c>
      <c r="C67" s="6">
        <v>329.22</v>
      </c>
      <c r="D67" s="6">
        <v>331.37</v>
      </c>
      <c r="E67" s="6">
        <v>314.60000000000002</v>
      </c>
      <c r="F67" s="6" t="s">
        <v>301</v>
      </c>
      <c r="G67" s="16">
        <v>-1.6400000000000001E-2</v>
      </c>
    </row>
    <row r="68" spans="1:7" x14ac:dyDescent="0.35">
      <c r="A68" s="15">
        <v>45888</v>
      </c>
      <c r="B68" s="6">
        <v>329.31</v>
      </c>
      <c r="C68" s="6">
        <v>335.79</v>
      </c>
      <c r="D68" s="6">
        <v>340.55</v>
      </c>
      <c r="E68" s="6">
        <v>327.85</v>
      </c>
      <c r="F68" s="6" t="s">
        <v>302</v>
      </c>
      <c r="G68" s="16">
        <v>-1.7500000000000002E-2</v>
      </c>
    </row>
    <row r="69" spans="1:7" x14ac:dyDescent="0.35">
      <c r="A69" s="15">
        <v>45887</v>
      </c>
      <c r="B69" s="6">
        <v>335.16</v>
      </c>
      <c r="C69" s="6">
        <v>329.62</v>
      </c>
      <c r="D69" s="6">
        <v>336.27</v>
      </c>
      <c r="E69" s="6">
        <v>329.59</v>
      </c>
      <c r="F69" s="6" t="s">
        <v>303</v>
      </c>
      <c r="G69" s="16">
        <v>1.3899999999999999E-2</v>
      </c>
    </row>
    <row r="70" spans="1:7" x14ac:dyDescent="0.35">
      <c r="A70" s="15">
        <v>45884</v>
      </c>
      <c r="B70" s="6">
        <v>330.56</v>
      </c>
      <c r="C70" s="6">
        <v>337.65</v>
      </c>
      <c r="D70" s="6">
        <v>339.3</v>
      </c>
      <c r="E70" s="6">
        <v>327.02</v>
      </c>
      <c r="F70" s="6" t="s">
        <v>304</v>
      </c>
      <c r="G70" s="16">
        <v>-1.4999999999999999E-2</v>
      </c>
    </row>
    <row r="71" spans="1:7" x14ac:dyDescent="0.35">
      <c r="A71" s="15">
        <v>45883</v>
      </c>
      <c r="B71" s="6">
        <v>335.58</v>
      </c>
      <c r="C71" s="6">
        <v>335.76</v>
      </c>
      <c r="D71" s="6">
        <v>340.47</v>
      </c>
      <c r="E71" s="6">
        <v>330.4</v>
      </c>
      <c r="F71" s="6" t="s">
        <v>305</v>
      </c>
      <c r="G71" s="16">
        <v>-1.12E-2</v>
      </c>
    </row>
    <row r="72" spans="1:7" x14ac:dyDescent="0.35">
      <c r="A72" s="15">
        <v>45882</v>
      </c>
      <c r="B72" s="6">
        <v>339.38</v>
      </c>
      <c r="C72" s="6">
        <v>341.5</v>
      </c>
      <c r="D72" s="6">
        <v>348.98</v>
      </c>
      <c r="E72" s="6">
        <v>338.2</v>
      </c>
      <c r="F72" s="6" t="s">
        <v>306</v>
      </c>
      <c r="G72" s="16">
        <v>-4.3E-3</v>
      </c>
    </row>
    <row r="73" spans="1:7" x14ac:dyDescent="0.35">
      <c r="A73" s="15">
        <v>45881</v>
      </c>
      <c r="B73" s="6">
        <v>340.84</v>
      </c>
      <c r="C73" s="6">
        <v>345</v>
      </c>
      <c r="D73" s="6">
        <v>345.26</v>
      </c>
      <c r="E73" s="6">
        <v>332.94</v>
      </c>
      <c r="F73" s="6" t="s">
        <v>240</v>
      </c>
      <c r="G73" s="16">
        <v>5.3E-3</v>
      </c>
    </row>
    <row r="74" spans="1:7" x14ac:dyDescent="0.35">
      <c r="A74" s="15">
        <v>45880</v>
      </c>
      <c r="B74" s="6">
        <v>339.03</v>
      </c>
      <c r="C74" s="6">
        <v>335</v>
      </c>
      <c r="D74" s="6">
        <v>346.64</v>
      </c>
      <c r="E74" s="6">
        <v>334.15</v>
      </c>
      <c r="F74" s="6" t="s">
        <v>307</v>
      </c>
      <c r="G74" s="16">
        <v>2.8500000000000001E-2</v>
      </c>
    </row>
    <row r="75" spans="1:7" x14ac:dyDescent="0.35">
      <c r="A75" s="15">
        <v>45877</v>
      </c>
      <c r="B75" s="6">
        <v>329.65</v>
      </c>
      <c r="C75" s="6">
        <v>321.43</v>
      </c>
      <c r="D75" s="6">
        <v>335.15</v>
      </c>
      <c r="E75" s="6">
        <v>320.98</v>
      </c>
      <c r="F75" s="6" t="s">
        <v>308</v>
      </c>
      <c r="G75" s="16">
        <v>2.29E-2</v>
      </c>
    </row>
    <row r="76" spans="1:7" x14ac:dyDescent="0.35">
      <c r="A76" s="15">
        <v>45876</v>
      </c>
      <c r="B76" s="6">
        <v>322.27</v>
      </c>
      <c r="C76" s="6">
        <v>319.79000000000002</v>
      </c>
      <c r="D76" s="6">
        <v>322.39999999999998</v>
      </c>
      <c r="E76" s="6">
        <v>316.16000000000003</v>
      </c>
      <c r="F76" s="6" t="s">
        <v>309</v>
      </c>
      <c r="G76" s="16">
        <v>7.4000000000000003E-3</v>
      </c>
    </row>
    <row r="77" spans="1:7" x14ac:dyDescent="0.35">
      <c r="A77" s="15">
        <v>45875</v>
      </c>
      <c r="B77" s="6">
        <v>319.91000000000003</v>
      </c>
      <c r="C77" s="6">
        <v>307.89</v>
      </c>
      <c r="D77" s="6">
        <v>320.47000000000003</v>
      </c>
      <c r="E77" s="6">
        <v>306.93</v>
      </c>
      <c r="F77" s="6" t="s">
        <v>310</v>
      </c>
      <c r="G77" s="16">
        <v>3.6200000000000003E-2</v>
      </c>
    </row>
    <row r="78" spans="1:7" x14ac:dyDescent="0.35">
      <c r="A78" s="15">
        <v>45874</v>
      </c>
      <c r="B78" s="6">
        <v>308.72000000000003</v>
      </c>
      <c r="C78" s="6">
        <v>308.95</v>
      </c>
      <c r="D78" s="6">
        <v>312.45</v>
      </c>
      <c r="E78" s="6">
        <v>305.5</v>
      </c>
      <c r="F78" s="6" t="s">
        <v>311</v>
      </c>
      <c r="G78" s="16">
        <v>-1.6999999999999999E-3</v>
      </c>
    </row>
    <row r="79" spans="1:7" x14ac:dyDescent="0.35">
      <c r="A79" s="15">
        <v>45873</v>
      </c>
      <c r="B79" s="6">
        <v>309.26</v>
      </c>
      <c r="C79" s="6">
        <v>309.08</v>
      </c>
      <c r="D79" s="6">
        <v>312.12</v>
      </c>
      <c r="E79" s="6">
        <v>303</v>
      </c>
      <c r="F79" s="6" t="s">
        <v>312</v>
      </c>
      <c r="G79" s="16">
        <v>2.1899999999999999E-2</v>
      </c>
    </row>
    <row r="80" spans="1:7" x14ac:dyDescent="0.35">
      <c r="A80" s="15">
        <v>45870</v>
      </c>
      <c r="B80" s="6">
        <v>302.63</v>
      </c>
      <c r="C80" s="6">
        <v>306.2</v>
      </c>
      <c r="D80" s="6">
        <v>309.31</v>
      </c>
      <c r="E80" s="6">
        <v>297.82</v>
      </c>
      <c r="F80" s="6" t="s">
        <v>313</v>
      </c>
      <c r="G80" s="16">
        <v>-1.83E-2</v>
      </c>
    </row>
    <row r="81" spans="1:7" x14ac:dyDescent="0.35">
      <c r="A81" s="15">
        <v>45869</v>
      </c>
      <c r="B81" s="6">
        <v>308.27</v>
      </c>
      <c r="C81" s="6">
        <v>319.61</v>
      </c>
      <c r="D81" s="6">
        <v>321.37</v>
      </c>
      <c r="E81" s="6">
        <v>306.10000000000002</v>
      </c>
      <c r="F81" s="6" t="s">
        <v>314</v>
      </c>
      <c r="G81" s="16">
        <v>-3.3799999999999997E-2</v>
      </c>
    </row>
    <row r="82" spans="1:7" x14ac:dyDescent="0.35">
      <c r="A82" s="15">
        <v>45868</v>
      </c>
      <c r="B82" s="6">
        <v>319.04000000000002</v>
      </c>
      <c r="C82" s="6">
        <v>322.18</v>
      </c>
      <c r="D82" s="6">
        <v>324.45</v>
      </c>
      <c r="E82" s="6">
        <v>311.62</v>
      </c>
      <c r="F82" s="6" t="s">
        <v>315</v>
      </c>
      <c r="G82" s="16">
        <v>-6.7000000000000002E-3</v>
      </c>
    </row>
    <row r="83" spans="1:7" x14ac:dyDescent="0.35">
      <c r="A83" s="15">
        <v>45867</v>
      </c>
      <c r="B83" s="6">
        <v>321.2</v>
      </c>
      <c r="C83" s="6">
        <v>325.55</v>
      </c>
      <c r="D83" s="6">
        <v>326.25</v>
      </c>
      <c r="E83" s="6">
        <v>318.25</v>
      </c>
      <c r="F83" s="6" t="s">
        <v>316</v>
      </c>
      <c r="G83" s="16">
        <v>-1.35E-2</v>
      </c>
    </row>
    <row r="84" spans="1:7" x14ac:dyDescent="0.35">
      <c r="A84" s="15">
        <v>45866</v>
      </c>
      <c r="B84" s="6">
        <v>325.58999999999997</v>
      </c>
      <c r="C84" s="6">
        <v>318.45</v>
      </c>
      <c r="D84" s="6">
        <v>330.49</v>
      </c>
      <c r="E84" s="6">
        <v>315.69</v>
      </c>
      <c r="F84" s="6" t="s">
        <v>317</v>
      </c>
      <c r="G84" s="16">
        <v>3.0200000000000001E-2</v>
      </c>
    </row>
    <row r="85" spans="1:7" x14ac:dyDescent="0.35">
      <c r="A85" s="15">
        <v>45863</v>
      </c>
      <c r="B85" s="6">
        <v>316.06</v>
      </c>
      <c r="C85" s="6">
        <v>308.74</v>
      </c>
      <c r="D85" s="6">
        <v>323.63</v>
      </c>
      <c r="E85" s="6">
        <v>308.01</v>
      </c>
      <c r="F85" s="6" t="s">
        <v>318</v>
      </c>
      <c r="G85" s="16">
        <v>3.5200000000000002E-2</v>
      </c>
    </row>
    <row r="86" spans="1:7" x14ac:dyDescent="0.35">
      <c r="A86" s="15">
        <v>45862</v>
      </c>
      <c r="B86" s="6">
        <v>305.3</v>
      </c>
      <c r="C86" s="6">
        <v>310</v>
      </c>
      <c r="D86" s="6">
        <v>310.14999999999998</v>
      </c>
      <c r="E86" s="6">
        <v>300.41000000000003</v>
      </c>
      <c r="F86" s="6" t="s">
        <v>319</v>
      </c>
      <c r="G86" s="16">
        <v>-8.2000000000000003E-2</v>
      </c>
    </row>
    <row r="87" spans="1:7" x14ac:dyDescent="0.35">
      <c r="A87" s="15">
        <v>45861</v>
      </c>
      <c r="B87" s="6">
        <v>332.56</v>
      </c>
      <c r="C87" s="6">
        <v>330.9</v>
      </c>
      <c r="D87" s="6">
        <v>336.2</v>
      </c>
      <c r="E87" s="6">
        <v>328.67</v>
      </c>
      <c r="F87" s="6" t="s">
        <v>320</v>
      </c>
      <c r="G87" s="16">
        <v>1.4E-3</v>
      </c>
    </row>
    <row r="88" spans="1:7" x14ac:dyDescent="0.35">
      <c r="A88" s="15">
        <v>45860</v>
      </c>
      <c r="B88" s="6">
        <v>332.11</v>
      </c>
      <c r="C88" s="6">
        <v>329.74</v>
      </c>
      <c r="D88" s="6">
        <v>335.41</v>
      </c>
      <c r="E88" s="6">
        <v>321.55</v>
      </c>
      <c r="F88" s="6" t="s">
        <v>321</v>
      </c>
      <c r="G88" s="16">
        <v>1.0999999999999999E-2</v>
      </c>
    </row>
    <row r="89" spans="1:7" x14ac:dyDescent="0.35">
      <c r="A89" s="15">
        <v>45859</v>
      </c>
      <c r="B89" s="6">
        <v>328.49</v>
      </c>
      <c r="C89" s="6">
        <v>334.4</v>
      </c>
      <c r="D89" s="6">
        <v>338</v>
      </c>
      <c r="E89" s="6">
        <v>326.88</v>
      </c>
      <c r="F89" s="6" t="s">
        <v>322</v>
      </c>
      <c r="G89" s="16">
        <v>-3.5000000000000001E-3</v>
      </c>
    </row>
    <row r="90" spans="1:7" x14ac:dyDescent="0.35">
      <c r="A90" s="15">
        <v>45856</v>
      </c>
      <c r="B90" s="6">
        <v>329.65</v>
      </c>
      <c r="C90" s="6">
        <v>321.66000000000003</v>
      </c>
      <c r="D90" s="6">
        <v>330.9</v>
      </c>
      <c r="E90" s="6">
        <v>321.42</v>
      </c>
      <c r="F90" s="6" t="s">
        <v>323</v>
      </c>
      <c r="G90" s="16">
        <v>3.2099999999999997E-2</v>
      </c>
    </row>
    <row r="91" spans="1:7" x14ac:dyDescent="0.35">
      <c r="A91" s="15">
        <v>45855</v>
      </c>
      <c r="B91" s="6">
        <v>319.41000000000003</v>
      </c>
      <c r="C91" s="6">
        <v>323.14999999999998</v>
      </c>
      <c r="D91" s="6">
        <v>324.33999999999997</v>
      </c>
      <c r="E91" s="6">
        <v>317.06</v>
      </c>
      <c r="F91" s="6" t="s">
        <v>324</v>
      </c>
      <c r="G91" s="16">
        <v>-7.0000000000000001E-3</v>
      </c>
    </row>
    <row r="92" spans="1:7" x14ac:dyDescent="0.35">
      <c r="A92" s="15">
        <v>45854</v>
      </c>
      <c r="B92" s="6">
        <v>321.67</v>
      </c>
      <c r="C92" s="6">
        <v>312.8</v>
      </c>
      <c r="D92" s="6">
        <v>323.5</v>
      </c>
      <c r="E92" s="6">
        <v>312.62</v>
      </c>
      <c r="F92" s="6" t="s">
        <v>325</v>
      </c>
      <c r="G92" s="16">
        <v>3.5000000000000003E-2</v>
      </c>
    </row>
    <row r="93" spans="1:7" x14ac:dyDescent="0.35">
      <c r="A93" s="15">
        <v>45853</v>
      </c>
      <c r="B93" s="6">
        <v>310.77999999999997</v>
      </c>
      <c r="C93" s="6">
        <v>319.67</v>
      </c>
      <c r="D93" s="6">
        <v>321.2</v>
      </c>
      <c r="E93" s="6">
        <v>310.5</v>
      </c>
      <c r="F93" s="6" t="s">
        <v>326</v>
      </c>
      <c r="G93" s="16">
        <v>-1.9300000000000001E-2</v>
      </c>
    </row>
    <row r="94" spans="1:7" x14ac:dyDescent="0.35">
      <c r="A94" s="15">
        <v>45852</v>
      </c>
      <c r="B94" s="6">
        <v>316.89999999999998</v>
      </c>
      <c r="C94" s="6">
        <v>317.73</v>
      </c>
      <c r="D94" s="6">
        <v>322.60000000000002</v>
      </c>
      <c r="E94" s="6">
        <v>312.67</v>
      </c>
      <c r="F94" s="6" t="s">
        <v>327</v>
      </c>
      <c r="G94" s="16">
        <v>1.0800000000000001E-2</v>
      </c>
    </row>
    <row r="95" spans="1:7" x14ac:dyDescent="0.35">
      <c r="A95" s="15">
        <v>45849</v>
      </c>
      <c r="B95" s="6">
        <v>313.51</v>
      </c>
      <c r="C95" s="6">
        <v>307.89</v>
      </c>
      <c r="D95" s="6">
        <v>314.08999999999997</v>
      </c>
      <c r="E95" s="6">
        <v>305.64999999999998</v>
      </c>
      <c r="F95" s="6" t="s">
        <v>328</v>
      </c>
      <c r="G95" s="16">
        <v>1.17E-2</v>
      </c>
    </row>
    <row r="96" spans="1:7" x14ac:dyDescent="0.35">
      <c r="A96" s="15">
        <v>45848</v>
      </c>
      <c r="B96" s="6">
        <v>309.87</v>
      </c>
      <c r="C96" s="6">
        <v>300.05</v>
      </c>
      <c r="D96" s="6">
        <v>310.48</v>
      </c>
      <c r="E96" s="6">
        <v>300</v>
      </c>
      <c r="F96" s="6" t="s">
        <v>329</v>
      </c>
      <c r="G96" s="16">
        <v>4.7300000000000002E-2</v>
      </c>
    </row>
    <row r="97" spans="1:7" x14ac:dyDescent="0.35">
      <c r="A97" s="15">
        <v>45847</v>
      </c>
      <c r="B97" s="6">
        <v>295.88</v>
      </c>
      <c r="C97" s="6">
        <v>297.55</v>
      </c>
      <c r="D97" s="6">
        <v>300.14999999999998</v>
      </c>
      <c r="E97" s="6">
        <v>293.55</v>
      </c>
      <c r="F97" s="6" t="s">
        <v>330</v>
      </c>
      <c r="G97" s="16">
        <v>-6.4999999999999997E-3</v>
      </c>
    </row>
    <row r="98" spans="1:7" x14ac:dyDescent="0.35">
      <c r="A98" s="15">
        <v>45846</v>
      </c>
      <c r="B98" s="6">
        <v>297.81</v>
      </c>
      <c r="C98" s="6">
        <v>297</v>
      </c>
      <c r="D98" s="6">
        <v>304.05</v>
      </c>
      <c r="E98" s="6">
        <v>294.35000000000002</v>
      </c>
      <c r="F98" s="6" t="s">
        <v>331</v>
      </c>
      <c r="G98" s="16">
        <v>1.32E-2</v>
      </c>
    </row>
    <row r="99" spans="1:7" x14ac:dyDescent="0.35">
      <c r="A99" s="15">
        <v>45845</v>
      </c>
      <c r="B99" s="6">
        <v>293.94</v>
      </c>
      <c r="C99" s="6">
        <v>291.37</v>
      </c>
      <c r="D99" s="6">
        <v>296.14999999999998</v>
      </c>
      <c r="E99" s="6">
        <v>288.77</v>
      </c>
      <c r="F99" s="6" t="s">
        <v>332</v>
      </c>
      <c r="G99" s="16">
        <v>-6.7900000000000002E-2</v>
      </c>
    </row>
    <row r="100" spans="1:7" x14ac:dyDescent="0.35">
      <c r="A100" s="15">
        <v>45841</v>
      </c>
      <c r="B100" s="6">
        <v>315.35000000000002</v>
      </c>
      <c r="C100" s="6">
        <v>317.99</v>
      </c>
      <c r="D100" s="6">
        <v>318.45</v>
      </c>
      <c r="E100" s="6">
        <v>312.76</v>
      </c>
      <c r="F100" s="6" t="s">
        <v>333</v>
      </c>
      <c r="G100" s="16">
        <v>-1E-3</v>
      </c>
    </row>
    <row r="101" spans="1:7" x14ac:dyDescent="0.35">
      <c r="A101" s="15">
        <v>45840</v>
      </c>
      <c r="B101" s="6">
        <v>315.64999999999998</v>
      </c>
      <c r="C101" s="6">
        <v>312.63</v>
      </c>
      <c r="D101" s="6">
        <v>316.83</v>
      </c>
      <c r="E101" s="6">
        <v>303.82</v>
      </c>
      <c r="F101" s="6" t="s">
        <v>334</v>
      </c>
      <c r="G101" s="16">
        <v>4.9700000000000001E-2</v>
      </c>
    </row>
    <row r="102" spans="1:7" x14ac:dyDescent="0.35">
      <c r="A102" s="15">
        <v>45839</v>
      </c>
      <c r="B102" s="6">
        <v>300.70999999999998</v>
      </c>
      <c r="C102" s="6">
        <v>298.45999999999998</v>
      </c>
      <c r="D102" s="6">
        <v>305.89</v>
      </c>
      <c r="E102" s="6">
        <v>293.20999999999998</v>
      </c>
      <c r="F102" s="6" t="s">
        <v>335</v>
      </c>
      <c r="G102" s="16">
        <v>-5.3400000000000003E-2</v>
      </c>
    </row>
    <row r="103" spans="1:7" x14ac:dyDescent="0.35">
      <c r="A103" s="15">
        <v>45838</v>
      </c>
      <c r="B103" s="6">
        <v>317.66000000000003</v>
      </c>
      <c r="C103" s="6">
        <v>319.89999999999998</v>
      </c>
      <c r="D103" s="6">
        <v>325.58</v>
      </c>
      <c r="E103" s="6">
        <v>316.60000000000002</v>
      </c>
      <c r="F103" s="6" t="s">
        <v>336</v>
      </c>
      <c r="G103" s="16">
        <v>-1.84E-2</v>
      </c>
    </row>
    <row r="104" spans="1:7" x14ac:dyDescent="0.35">
      <c r="A104" s="15">
        <v>45835</v>
      </c>
      <c r="B104" s="6">
        <v>323.63</v>
      </c>
      <c r="C104" s="6">
        <v>324.51</v>
      </c>
      <c r="D104" s="6">
        <v>329.34</v>
      </c>
      <c r="E104" s="6">
        <v>317.49</v>
      </c>
      <c r="F104" s="6" t="s">
        <v>337</v>
      </c>
      <c r="G104" s="16">
        <v>-6.6E-3</v>
      </c>
    </row>
    <row r="105" spans="1:7" x14ac:dyDescent="0.35">
      <c r="A105" s="15">
        <v>45834</v>
      </c>
      <c r="B105" s="6">
        <v>325.77999999999997</v>
      </c>
      <c r="C105" s="6">
        <v>324.61</v>
      </c>
      <c r="D105" s="6">
        <v>331.05</v>
      </c>
      <c r="E105" s="6">
        <v>323.61</v>
      </c>
      <c r="F105" s="6" t="s">
        <v>338</v>
      </c>
      <c r="G105" s="16">
        <v>-5.4000000000000003E-3</v>
      </c>
    </row>
    <row r="106" spans="1:7" x14ac:dyDescent="0.35">
      <c r="A106" s="15">
        <v>45833</v>
      </c>
      <c r="B106" s="6">
        <v>327.55</v>
      </c>
      <c r="C106" s="6">
        <v>342.7</v>
      </c>
      <c r="D106" s="6">
        <v>343</v>
      </c>
      <c r="E106" s="6">
        <v>320.39999999999998</v>
      </c>
      <c r="F106" s="6" t="s">
        <v>339</v>
      </c>
      <c r="G106" s="16">
        <v>-3.7900000000000003E-2</v>
      </c>
    </row>
    <row r="107" spans="1:7" x14ac:dyDescent="0.35">
      <c r="A107" s="15">
        <v>45832</v>
      </c>
      <c r="B107" s="6">
        <v>340.47</v>
      </c>
      <c r="C107" s="6">
        <v>356.17</v>
      </c>
      <c r="D107" s="6">
        <v>356.26</v>
      </c>
      <c r="E107" s="6">
        <v>340.44</v>
      </c>
      <c r="F107" s="6" t="s">
        <v>340</v>
      </c>
      <c r="G107" s="16">
        <v>-2.35E-2</v>
      </c>
    </row>
    <row r="108" spans="1:7" x14ac:dyDescent="0.35">
      <c r="A108" s="15">
        <v>45831</v>
      </c>
      <c r="B108" s="6">
        <v>348.68</v>
      </c>
      <c r="C108" s="6">
        <v>327.54000000000002</v>
      </c>
      <c r="D108" s="6">
        <v>357.54</v>
      </c>
      <c r="E108" s="6">
        <v>327.48</v>
      </c>
      <c r="F108" s="6" t="s">
        <v>341</v>
      </c>
      <c r="G108" s="16">
        <v>8.2299999999999998E-2</v>
      </c>
    </row>
    <row r="109" spans="1:7" x14ac:dyDescent="0.35">
      <c r="A109" s="15">
        <v>45828</v>
      </c>
      <c r="B109" s="6">
        <v>322.16000000000003</v>
      </c>
      <c r="C109" s="6">
        <v>327.95</v>
      </c>
      <c r="D109" s="6">
        <v>332.36</v>
      </c>
      <c r="E109" s="6">
        <v>317.77999999999997</v>
      </c>
      <c r="F109" s="6" t="s">
        <v>342</v>
      </c>
      <c r="G109" s="16">
        <v>2.9999999999999997E-4</v>
      </c>
    </row>
    <row r="110" spans="1:7" x14ac:dyDescent="0.35">
      <c r="A110" s="15">
        <v>45826</v>
      </c>
      <c r="B110" s="6">
        <v>322.05</v>
      </c>
      <c r="C110" s="6">
        <v>317.31</v>
      </c>
      <c r="D110" s="6">
        <v>329.32</v>
      </c>
      <c r="E110" s="6">
        <v>315.45</v>
      </c>
      <c r="F110" s="6" t="s">
        <v>343</v>
      </c>
      <c r="G110" s="16">
        <v>1.7999999999999999E-2</v>
      </c>
    </row>
    <row r="111" spans="1:7" x14ac:dyDescent="0.35">
      <c r="A111" s="15">
        <v>45825</v>
      </c>
      <c r="B111" s="6">
        <v>316.35000000000002</v>
      </c>
      <c r="C111" s="6">
        <v>326.08999999999997</v>
      </c>
      <c r="D111" s="6">
        <v>327.26</v>
      </c>
      <c r="E111" s="6">
        <v>314.74</v>
      </c>
      <c r="F111" s="6" t="s">
        <v>344</v>
      </c>
      <c r="G111" s="16">
        <v>-3.8800000000000001E-2</v>
      </c>
    </row>
    <row r="112" spans="1:7" x14ac:dyDescent="0.35">
      <c r="A112" s="15">
        <v>45824</v>
      </c>
      <c r="B112" s="6">
        <v>329.13</v>
      </c>
      <c r="C112" s="6">
        <v>331.29</v>
      </c>
      <c r="D112" s="6">
        <v>332.05</v>
      </c>
      <c r="E112" s="6">
        <v>326.41000000000003</v>
      </c>
      <c r="F112" s="6" t="s">
        <v>315</v>
      </c>
      <c r="G112" s="16">
        <v>1.17E-2</v>
      </c>
    </row>
    <row r="113" spans="1:7" x14ac:dyDescent="0.35">
      <c r="A113" s="15">
        <v>45821</v>
      </c>
      <c r="B113" s="6">
        <v>325.31</v>
      </c>
      <c r="C113" s="6">
        <v>313.97000000000003</v>
      </c>
      <c r="D113" s="6">
        <v>332.99</v>
      </c>
      <c r="E113" s="6">
        <v>313.3</v>
      </c>
      <c r="F113" s="6" t="s">
        <v>345</v>
      </c>
      <c r="G113" s="16">
        <v>1.9400000000000001E-2</v>
      </c>
    </row>
    <row r="114" spans="1:7" x14ac:dyDescent="0.35">
      <c r="A114" s="15">
        <v>45820</v>
      </c>
      <c r="B114" s="6">
        <v>319.11</v>
      </c>
      <c r="C114" s="6">
        <v>323.08</v>
      </c>
      <c r="D114" s="6">
        <v>332.56</v>
      </c>
      <c r="E114" s="6">
        <v>316.86</v>
      </c>
      <c r="F114" s="6" t="s">
        <v>346</v>
      </c>
      <c r="G114" s="16">
        <v>-2.24E-2</v>
      </c>
    </row>
    <row r="115" spans="1:7" x14ac:dyDescent="0.35">
      <c r="A115" s="15">
        <v>45819</v>
      </c>
      <c r="B115" s="6">
        <v>326.43</v>
      </c>
      <c r="C115" s="6">
        <v>334.39</v>
      </c>
      <c r="D115" s="6">
        <v>335.5</v>
      </c>
      <c r="E115" s="6">
        <v>322.5</v>
      </c>
      <c r="F115" s="6" t="s">
        <v>347</v>
      </c>
      <c r="G115" s="16">
        <v>1E-3</v>
      </c>
    </row>
    <row r="116" spans="1:7" x14ac:dyDescent="0.35">
      <c r="A116" s="15">
        <v>45818</v>
      </c>
      <c r="B116" s="6">
        <v>326.08999999999997</v>
      </c>
      <c r="C116" s="6">
        <v>314.94</v>
      </c>
      <c r="D116" s="6">
        <v>327.83</v>
      </c>
      <c r="E116" s="6">
        <v>310.67</v>
      </c>
      <c r="F116" s="6" t="s">
        <v>348</v>
      </c>
      <c r="G116" s="16">
        <v>5.67E-2</v>
      </c>
    </row>
    <row r="117" spans="1:7" x14ac:dyDescent="0.35">
      <c r="A117" s="15">
        <v>45817</v>
      </c>
      <c r="B117" s="6">
        <v>308.58</v>
      </c>
      <c r="C117" s="6">
        <v>285.95</v>
      </c>
      <c r="D117" s="6">
        <v>309.83</v>
      </c>
      <c r="E117" s="6">
        <v>281.85000000000002</v>
      </c>
      <c r="F117" s="6" t="s">
        <v>349</v>
      </c>
      <c r="G117" s="16">
        <v>4.5499999999999999E-2</v>
      </c>
    </row>
    <row r="118" spans="1:7" x14ac:dyDescent="0.35">
      <c r="A118" s="15">
        <v>45814</v>
      </c>
      <c r="B118" s="6">
        <v>295.14</v>
      </c>
      <c r="C118" s="6">
        <v>298.83</v>
      </c>
      <c r="D118" s="6">
        <v>305.5</v>
      </c>
      <c r="E118" s="6">
        <v>291.14</v>
      </c>
      <c r="F118" s="6" t="s">
        <v>350</v>
      </c>
      <c r="G118" s="16">
        <v>3.6700000000000003E-2</v>
      </c>
    </row>
    <row r="119" spans="1:7" x14ac:dyDescent="0.35">
      <c r="A119" s="15">
        <v>45813</v>
      </c>
      <c r="B119" s="6">
        <v>284.7</v>
      </c>
      <c r="C119" s="6">
        <v>322.49</v>
      </c>
      <c r="D119" s="6">
        <v>324.55</v>
      </c>
      <c r="E119" s="6">
        <v>273.20999999999998</v>
      </c>
      <c r="F119" s="6" t="s">
        <v>351</v>
      </c>
      <c r="G119" s="16">
        <v>-0.1426</v>
      </c>
    </row>
    <row r="120" spans="1:7" x14ac:dyDescent="0.35">
      <c r="A120" s="15">
        <v>45812</v>
      </c>
      <c r="B120" s="6">
        <v>332.05</v>
      </c>
      <c r="C120" s="6">
        <v>345.1</v>
      </c>
      <c r="D120" s="6">
        <v>345.6</v>
      </c>
      <c r="E120" s="6">
        <v>327.33</v>
      </c>
      <c r="F120" s="6" t="s">
        <v>352</v>
      </c>
      <c r="G120" s="16">
        <v>-3.5499999999999997E-2</v>
      </c>
    </row>
    <row r="121" spans="1:7" x14ac:dyDescent="0.35">
      <c r="A121" s="15">
        <v>45811</v>
      </c>
      <c r="B121" s="6">
        <v>344.27</v>
      </c>
      <c r="C121" s="6">
        <v>346.6</v>
      </c>
      <c r="D121" s="6">
        <v>355.4</v>
      </c>
      <c r="E121" s="6">
        <v>343.04</v>
      </c>
      <c r="F121" s="6" t="s">
        <v>353</v>
      </c>
      <c r="G121" s="16">
        <v>4.5999999999999999E-3</v>
      </c>
    </row>
    <row r="122" spans="1:7" x14ac:dyDescent="0.35">
      <c r="A122" s="15">
        <v>45810</v>
      </c>
      <c r="B122" s="6">
        <v>342.69</v>
      </c>
      <c r="C122" s="6">
        <v>343.5</v>
      </c>
      <c r="D122" s="6">
        <v>348.02</v>
      </c>
      <c r="E122" s="6">
        <v>333.33</v>
      </c>
      <c r="F122" s="6" t="s">
        <v>354</v>
      </c>
      <c r="G122" s="16">
        <v>-1.09E-2</v>
      </c>
    </row>
    <row r="123" spans="1:7" x14ac:dyDescent="0.35">
      <c r="A123" s="15">
        <v>45807</v>
      </c>
      <c r="B123" s="6">
        <v>346.46</v>
      </c>
      <c r="C123" s="6">
        <v>355.52</v>
      </c>
      <c r="D123" s="6">
        <v>363.68</v>
      </c>
      <c r="E123" s="6">
        <v>345.29</v>
      </c>
      <c r="F123" s="6" t="s">
        <v>355</v>
      </c>
      <c r="G123" s="16">
        <v>-3.3399999999999999E-2</v>
      </c>
    </row>
    <row r="124" spans="1:7" x14ac:dyDescent="0.35">
      <c r="A124" s="15">
        <v>45806</v>
      </c>
      <c r="B124" s="6">
        <v>358.43</v>
      </c>
      <c r="C124" s="6">
        <v>365.29</v>
      </c>
      <c r="D124" s="6">
        <v>367.71</v>
      </c>
      <c r="E124" s="6">
        <v>356</v>
      </c>
      <c r="F124" s="6" t="s">
        <v>356</v>
      </c>
      <c r="G124" s="16">
        <v>4.3E-3</v>
      </c>
    </row>
    <row r="125" spans="1:7" x14ac:dyDescent="0.35">
      <c r="A125" s="15">
        <v>45805</v>
      </c>
      <c r="B125" s="6">
        <v>356.9</v>
      </c>
      <c r="C125" s="6">
        <v>364.84</v>
      </c>
      <c r="D125" s="6">
        <v>365</v>
      </c>
      <c r="E125" s="6">
        <v>355.91</v>
      </c>
      <c r="F125" s="6" t="s">
        <v>357</v>
      </c>
      <c r="G125" s="16">
        <v>-1.6500000000000001E-2</v>
      </c>
    </row>
    <row r="126" spans="1:7" x14ac:dyDescent="0.35">
      <c r="A126" s="15">
        <v>45804</v>
      </c>
      <c r="B126" s="6">
        <v>362.89</v>
      </c>
      <c r="C126" s="6">
        <v>347.35</v>
      </c>
      <c r="D126" s="6">
        <v>363.79</v>
      </c>
      <c r="E126" s="6">
        <v>347.32</v>
      </c>
      <c r="F126" s="6" t="s">
        <v>358</v>
      </c>
      <c r="G126" s="16">
        <v>6.9400000000000003E-2</v>
      </c>
    </row>
    <row r="127" spans="1:7" x14ac:dyDescent="0.35">
      <c r="A127" s="15">
        <v>45800</v>
      </c>
      <c r="B127" s="6">
        <v>339.34</v>
      </c>
      <c r="C127" s="6">
        <v>337.92</v>
      </c>
      <c r="D127" s="6">
        <v>343.18</v>
      </c>
      <c r="E127" s="6">
        <v>333.21</v>
      </c>
      <c r="F127" s="6" t="s">
        <v>359</v>
      </c>
      <c r="G127" s="16">
        <v>-5.0000000000000001E-3</v>
      </c>
    </row>
    <row r="128" spans="1:7" x14ac:dyDescent="0.35">
      <c r="A128" s="15">
        <v>45799</v>
      </c>
      <c r="B128" s="6">
        <v>341.04</v>
      </c>
      <c r="C128" s="6">
        <v>331.9</v>
      </c>
      <c r="D128" s="6">
        <v>347.27</v>
      </c>
      <c r="E128" s="6">
        <v>331.39</v>
      </c>
      <c r="F128" s="6" t="s">
        <v>280</v>
      </c>
      <c r="G128" s="16">
        <v>1.9199999999999998E-2</v>
      </c>
    </row>
    <row r="129" spans="1:7" x14ac:dyDescent="0.35">
      <c r="A129" s="15">
        <v>45798</v>
      </c>
      <c r="B129" s="6">
        <v>334.62</v>
      </c>
      <c r="C129" s="6">
        <v>344.43</v>
      </c>
      <c r="D129" s="6">
        <v>347.35</v>
      </c>
      <c r="E129" s="6">
        <v>332.2</v>
      </c>
      <c r="F129" s="6" t="s">
        <v>360</v>
      </c>
      <c r="G129" s="16">
        <v>-2.6800000000000001E-2</v>
      </c>
    </row>
    <row r="130" spans="1:7" x14ac:dyDescent="0.35">
      <c r="A130" s="15">
        <v>45797</v>
      </c>
      <c r="B130" s="6">
        <v>343.82</v>
      </c>
      <c r="C130" s="6">
        <v>347.87</v>
      </c>
      <c r="D130" s="6">
        <v>354.99</v>
      </c>
      <c r="E130" s="6">
        <v>341.63</v>
      </c>
      <c r="F130" s="6" t="s">
        <v>361</v>
      </c>
      <c r="G130" s="16">
        <v>5.1000000000000004E-3</v>
      </c>
    </row>
    <row r="131" spans="1:7" x14ac:dyDescent="0.35">
      <c r="A131" s="15">
        <v>45796</v>
      </c>
      <c r="B131" s="6">
        <v>342.09</v>
      </c>
      <c r="C131" s="6">
        <v>336.3</v>
      </c>
      <c r="D131" s="6">
        <v>343</v>
      </c>
      <c r="E131" s="6">
        <v>333.37</v>
      </c>
      <c r="F131" s="6" t="s">
        <v>362</v>
      </c>
      <c r="G131" s="16">
        <v>-2.2499999999999999E-2</v>
      </c>
    </row>
    <row r="132" spans="1:7" x14ac:dyDescent="0.35">
      <c r="A132" s="15">
        <v>45793</v>
      </c>
      <c r="B132" s="6">
        <v>349.98</v>
      </c>
      <c r="C132" s="6">
        <v>346.24</v>
      </c>
      <c r="D132" s="6">
        <v>351.62</v>
      </c>
      <c r="E132" s="6">
        <v>342.33</v>
      </c>
      <c r="F132" s="6" t="s">
        <v>363</v>
      </c>
      <c r="G132" s="16">
        <v>2.0899999999999998E-2</v>
      </c>
    </row>
    <row r="133" spans="1:7" x14ac:dyDescent="0.35">
      <c r="A133" s="15">
        <v>45792</v>
      </c>
      <c r="B133" s="6">
        <v>342.82</v>
      </c>
      <c r="C133" s="6">
        <v>340.34</v>
      </c>
      <c r="D133" s="6">
        <v>346.14</v>
      </c>
      <c r="E133" s="6">
        <v>334.72</v>
      </c>
      <c r="F133" s="6" t="s">
        <v>364</v>
      </c>
      <c r="G133" s="16">
        <v>-1.4E-2</v>
      </c>
    </row>
    <row r="134" spans="1:7" x14ac:dyDescent="0.35">
      <c r="A134" s="15">
        <v>45791</v>
      </c>
      <c r="B134" s="6">
        <v>347.68</v>
      </c>
      <c r="C134" s="6">
        <v>342.5</v>
      </c>
      <c r="D134" s="6">
        <v>350</v>
      </c>
      <c r="E134" s="6">
        <v>337</v>
      </c>
      <c r="F134" s="6" t="s">
        <v>365</v>
      </c>
      <c r="G134" s="16">
        <v>4.07E-2</v>
      </c>
    </row>
    <row r="135" spans="1:7" x14ac:dyDescent="0.35">
      <c r="A135" s="15">
        <v>45790</v>
      </c>
      <c r="B135" s="6">
        <v>334.07</v>
      </c>
      <c r="C135" s="6">
        <v>320</v>
      </c>
      <c r="D135" s="6">
        <v>337.59</v>
      </c>
      <c r="E135" s="6">
        <v>316.8</v>
      </c>
      <c r="F135" s="6" t="s">
        <v>366</v>
      </c>
      <c r="G135" s="16">
        <v>4.9299999999999997E-2</v>
      </c>
    </row>
    <row r="136" spans="1:7" x14ac:dyDescent="0.35">
      <c r="A136" s="15">
        <v>45789</v>
      </c>
      <c r="B136" s="6">
        <v>318.38</v>
      </c>
      <c r="C136" s="6">
        <v>321.99</v>
      </c>
      <c r="D136" s="6">
        <v>322.20999999999998</v>
      </c>
      <c r="E136" s="6">
        <v>311.5</v>
      </c>
      <c r="F136" s="6" t="s">
        <v>367</v>
      </c>
      <c r="G136" s="16">
        <v>6.7500000000000004E-2</v>
      </c>
    </row>
    <row r="137" spans="1:7" x14ac:dyDescent="0.35">
      <c r="A137" s="15">
        <v>45786</v>
      </c>
      <c r="B137" s="6">
        <v>298.26</v>
      </c>
      <c r="C137" s="6">
        <v>290.20999999999998</v>
      </c>
      <c r="D137" s="6">
        <v>307.04000000000002</v>
      </c>
      <c r="E137" s="6">
        <v>290</v>
      </c>
      <c r="F137" s="6" t="s">
        <v>368</v>
      </c>
      <c r="G137" s="16">
        <v>4.7199999999999999E-2</v>
      </c>
    </row>
    <row r="138" spans="1:7" x14ac:dyDescent="0.35">
      <c r="A138" s="15">
        <v>45785</v>
      </c>
      <c r="B138" s="6">
        <v>284.82</v>
      </c>
      <c r="C138" s="6">
        <v>279.63</v>
      </c>
      <c r="D138" s="6">
        <v>289.8</v>
      </c>
      <c r="E138" s="6">
        <v>279.41000000000003</v>
      </c>
      <c r="F138" s="6" t="s">
        <v>369</v>
      </c>
      <c r="G138" s="16">
        <v>3.1099999999999999E-2</v>
      </c>
    </row>
    <row r="139" spans="1:7" x14ac:dyDescent="0.35">
      <c r="A139" s="15">
        <v>45784</v>
      </c>
      <c r="B139" s="6">
        <v>276.22000000000003</v>
      </c>
      <c r="C139" s="6">
        <v>276.88</v>
      </c>
      <c r="D139" s="6">
        <v>277.92</v>
      </c>
      <c r="E139" s="6">
        <v>271</v>
      </c>
      <c r="F139" s="6" t="s">
        <v>370</v>
      </c>
      <c r="G139" s="16">
        <v>3.2000000000000002E-3</v>
      </c>
    </row>
    <row r="140" spans="1:7" x14ac:dyDescent="0.35">
      <c r="A140" s="15">
        <v>45783</v>
      </c>
      <c r="B140" s="6">
        <v>275.35000000000002</v>
      </c>
      <c r="C140" s="6">
        <v>273.11</v>
      </c>
      <c r="D140" s="6">
        <v>277.73</v>
      </c>
      <c r="E140" s="6">
        <v>271.35000000000002</v>
      </c>
      <c r="F140" s="6" t="s">
        <v>371</v>
      </c>
      <c r="G140" s="16">
        <v>-1.7500000000000002E-2</v>
      </c>
    </row>
    <row r="141" spans="1:7" x14ac:dyDescent="0.35">
      <c r="A141" s="15">
        <v>45782</v>
      </c>
      <c r="B141" s="6">
        <v>280.26</v>
      </c>
      <c r="C141" s="6">
        <v>284.57</v>
      </c>
      <c r="D141" s="6">
        <v>284.85000000000002</v>
      </c>
      <c r="E141" s="6">
        <v>274.39999999999998</v>
      </c>
      <c r="F141" s="6" t="s">
        <v>372</v>
      </c>
      <c r="G141" s="16">
        <v>-2.4199999999999999E-2</v>
      </c>
    </row>
    <row r="142" spans="1:7" x14ac:dyDescent="0.35">
      <c r="A142" s="15">
        <v>45779</v>
      </c>
      <c r="B142" s="6">
        <v>287.20999999999998</v>
      </c>
      <c r="C142" s="6">
        <v>284.89999999999998</v>
      </c>
      <c r="D142" s="6">
        <v>294.77999999999997</v>
      </c>
      <c r="E142" s="6">
        <v>279.81</v>
      </c>
      <c r="F142" s="6" t="s">
        <v>373</v>
      </c>
      <c r="G142" s="16">
        <v>2.3800000000000002E-2</v>
      </c>
    </row>
    <row r="143" spans="1:7" x14ac:dyDescent="0.35">
      <c r="A143" s="15">
        <v>45778</v>
      </c>
      <c r="B143" s="6">
        <v>280.52</v>
      </c>
      <c r="C143" s="6">
        <v>280.01</v>
      </c>
      <c r="D143" s="6">
        <v>290.87</v>
      </c>
      <c r="E143" s="6">
        <v>279.81</v>
      </c>
      <c r="F143" s="6" t="s">
        <v>374</v>
      </c>
      <c r="G143" s="16">
        <v>-5.7999999999999996E-3</v>
      </c>
    </row>
    <row r="144" spans="1:7" x14ac:dyDescent="0.35">
      <c r="A144" s="15">
        <v>45777</v>
      </c>
      <c r="B144" s="6">
        <v>282.16000000000003</v>
      </c>
      <c r="C144" s="6">
        <v>279.89999999999998</v>
      </c>
      <c r="D144" s="6">
        <v>284.45</v>
      </c>
      <c r="E144" s="6">
        <v>270.77999999999997</v>
      </c>
      <c r="F144" s="6" t="s">
        <v>345</v>
      </c>
      <c r="G144" s="16">
        <v>-3.3799999999999997E-2</v>
      </c>
    </row>
    <row r="145" spans="1:7" x14ac:dyDescent="0.35">
      <c r="A145" s="15">
        <v>45776</v>
      </c>
      <c r="B145" s="6">
        <v>292.02999999999997</v>
      </c>
      <c r="C145" s="6">
        <v>285.5</v>
      </c>
      <c r="D145" s="6">
        <v>293.32</v>
      </c>
      <c r="E145" s="6">
        <v>279.47000000000003</v>
      </c>
      <c r="F145" s="6" t="s">
        <v>375</v>
      </c>
      <c r="G145" s="16">
        <v>2.1499999999999998E-2</v>
      </c>
    </row>
    <row r="146" spans="1:7" x14ac:dyDescent="0.35">
      <c r="A146" s="15">
        <v>45775</v>
      </c>
      <c r="B146" s="6">
        <v>285.88</v>
      </c>
      <c r="C146" s="6">
        <v>288.98</v>
      </c>
      <c r="D146" s="6">
        <v>294.86</v>
      </c>
      <c r="E146" s="6">
        <v>272.42</v>
      </c>
      <c r="F146" s="6" t="s">
        <v>376</v>
      </c>
      <c r="G146" s="16">
        <v>3.3E-3</v>
      </c>
    </row>
    <row r="147" spans="1:7" x14ac:dyDescent="0.35">
      <c r="A147" s="15">
        <v>45772</v>
      </c>
      <c r="B147" s="6">
        <v>284.95</v>
      </c>
      <c r="C147" s="6">
        <v>261.69</v>
      </c>
      <c r="D147" s="6">
        <v>286.85000000000002</v>
      </c>
      <c r="E147" s="6">
        <v>259.63</v>
      </c>
      <c r="F147" s="6" t="s">
        <v>377</v>
      </c>
      <c r="G147" s="16">
        <v>9.8000000000000004E-2</v>
      </c>
    </row>
    <row r="148" spans="1:7" x14ac:dyDescent="0.35">
      <c r="A148" s="15">
        <v>45771</v>
      </c>
      <c r="B148" s="6">
        <v>259.51</v>
      </c>
      <c r="C148" s="6">
        <v>250.5</v>
      </c>
      <c r="D148" s="6">
        <v>259.54000000000002</v>
      </c>
      <c r="E148" s="6">
        <v>249.2</v>
      </c>
      <c r="F148" s="6" t="s">
        <v>378</v>
      </c>
      <c r="G148" s="16">
        <v>3.5000000000000003E-2</v>
      </c>
    </row>
    <row r="149" spans="1:7" x14ac:dyDescent="0.35">
      <c r="A149" s="15">
        <v>45770</v>
      </c>
      <c r="B149" s="6">
        <v>250.74</v>
      </c>
      <c r="C149" s="6">
        <v>254.86</v>
      </c>
      <c r="D149" s="6">
        <v>259.45</v>
      </c>
      <c r="E149" s="6">
        <v>244.43</v>
      </c>
      <c r="F149" s="6" t="s">
        <v>379</v>
      </c>
      <c r="G149" s="16">
        <v>5.3699999999999998E-2</v>
      </c>
    </row>
    <row r="150" spans="1:7" x14ac:dyDescent="0.35">
      <c r="A150" s="15">
        <v>45769</v>
      </c>
      <c r="B150" s="6">
        <v>237.97</v>
      </c>
      <c r="C150" s="6">
        <v>230.96</v>
      </c>
      <c r="D150" s="6">
        <v>242.79</v>
      </c>
      <c r="E150" s="6">
        <v>229.85</v>
      </c>
      <c r="F150" s="6" t="s">
        <v>380</v>
      </c>
      <c r="G150" s="16">
        <v>4.5999999999999999E-2</v>
      </c>
    </row>
    <row r="151" spans="1:7" x14ac:dyDescent="0.35">
      <c r="A151" s="15">
        <v>45768</v>
      </c>
      <c r="B151" s="6">
        <v>227.5</v>
      </c>
      <c r="C151" s="6">
        <v>230.26</v>
      </c>
      <c r="D151" s="6">
        <v>232.21</v>
      </c>
      <c r="E151" s="6">
        <v>222.79</v>
      </c>
      <c r="F151" s="6" t="s">
        <v>381</v>
      </c>
      <c r="G151" s="16">
        <v>-5.7500000000000002E-2</v>
      </c>
    </row>
    <row r="152" spans="1:7" x14ac:dyDescent="0.35">
      <c r="A152" s="15">
        <v>45764</v>
      </c>
      <c r="B152" s="6">
        <v>241.37</v>
      </c>
      <c r="C152" s="6">
        <v>243.47</v>
      </c>
      <c r="D152" s="6">
        <v>244.34</v>
      </c>
      <c r="E152" s="6">
        <v>237.68</v>
      </c>
      <c r="F152" s="6" t="s">
        <v>382</v>
      </c>
      <c r="G152" s="16">
        <v>-6.9999999999999999E-4</v>
      </c>
    </row>
    <row r="153" spans="1:7" x14ac:dyDescent="0.35">
      <c r="A153" s="15">
        <v>45763</v>
      </c>
      <c r="B153" s="6">
        <v>241.55</v>
      </c>
      <c r="C153" s="6">
        <v>247.61</v>
      </c>
      <c r="D153" s="6">
        <v>251.97</v>
      </c>
      <c r="E153" s="6">
        <v>233.89</v>
      </c>
      <c r="F153" s="6" t="s">
        <v>383</v>
      </c>
      <c r="G153" s="16">
        <v>-4.9399999999999999E-2</v>
      </c>
    </row>
    <row r="154" spans="1:7" x14ac:dyDescent="0.35">
      <c r="A154" s="15">
        <v>45762</v>
      </c>
      <c r="B154" s="6">
        <v>254.11</v>
      </c>
      <c r="C154" s="6">
        <v>249.91</v>
      </c>
      <c r="D154" s="6">
        <v>258.75</v>
      </c>
      <c r="E154" s="6">
        <v>247.54</v>
      </c>
      <c r="F154" s="6" t="s">
        <v>384</v>
      </c>
      <c r="G154" s="16">
        <v>7.0000000000000001E-3</v>
      </c>
    </row>
    <row r="155" spans="1:7" x14ac:dyDescent="0.35">
      <c r="A155" s="15">
        <v>45761</v>
      </c>
      <c r="B155" s="6">
        <v>252.35</v>
      </c>
      <c r="C155" s="6">
        <v>258.36</v>
      </c>
      <c r="D155" s="6">
        <v>261.8</v>
      </c>
      <c r="E155" s="6">
        <v>245.93</v>
      </c>
      <c r="F155" s="6" t="s">
        <v>385</v>
      </c>
      <c r="G155" s="16">
        <v>2.0000000000000001E-4</v>
      </c>
    </row>
    <row r="156" spans="1:7" x14ac:dyDescent="0.35">
      <c r="A156" s="15">
        <v>45758</v>
      </c>
      <c r="B156" s="6">
        <v>252.31</v>
      </c>
      <c r="C156" s="6">
        <v>251.84</v>
      </c>
      <c r="D156" s="6">
        <v>257.74</v>
      </c>
      <c r="E156" s="6">
        <v>241.36</v>
      </c>
      <c r="F156" s="6" t="s">
        <v>386</v>
      </c>
      <c r="G156" s="16">
        <v>-4.0000000000000002E-4</v>
      </c>
    </row>
    <row r="157" spans="1:7" x14ac:dyDescent="0.35">
      <c r="A157" s="15">
        <v>45757</v>
      </c>
      <c r="B157" s="6">
        <v>252.4</v>
      </c>
      <c r="C157" s="6">
        <v>260</v>
      </c>
      <c r="D157" s="6">
        <v>262.49</v>
      </c>
      <c r="E157" s="6">
        <v>239.33</v>
      </c>
      <c r="F157" s="6" t="s">
        <v>387</v>
      </c>
      <c r="G157" s="16">
        <v>-7.2700000000000001E-2</v>
      </c>
    </row>
    <row r="158" spans="1:7" x14ac:dyDescent="0.35">
      <c r="A158" s="15">
        <v>45756</v>
      </c>
      <c r="B158" s="6">
        <v>272.2</v>
      </c>
      <c r="C158" s="6">
        <v>224.69</v>
      </c>
      <c r="D158" s="6">
        <v>274.69</v>
      </c>
      <c r="E158" s="6">
        <v>223.88</v>
      </c>
      <c r="F158" s="6" t="s">
        <v>388</v>
      </c>
      <c r="G158" s="16">
        <v>0.22689999999999999</v>
      </c>
    </row>
    <row r="159" spans="1:7" x14ac:dyDescent="0.35">
      <c r="A159" s="15">
        <v>45755</v>
      </c>
      <c r="B159" s="6">
        <v>221.86</v>
      </c>
      <c r="C159" s="6">
        <v>245</v>
      </c>
      <c r="D159" s="6">
        <v>250.44</v>
      </c>
      <c r="E159" s="6">
        <v>217.8</v>
      </c>
      <c r="F159" s="6" t="s">
        <v>389</v>
      </c>
      <c r="G159" s="16">
        <v>-4.9000000000000002E-2</v>
      </c>
    </row>
    <row r="160" spans="1:7" x14ac:dyDescent="0.35">
      <c r="A160" s="15">
        <v>45754</v>
      </c>
      <c r="B160" s="6">
        <v>233.29</v>
      </c>
      <c r="C160" s="6">
        <v>223.78</v>
      </c>
      <c r="D160" s="6">
        <v>252</v>
      </c>
      <c r="E160" s="6">
        <v>214.25</v>
      </c>
      <c r="F160" s="6" t="s">
        <v>390</v>
      </c>
      <c r="G160" s="16">
        <v>-2.5600000000000001E-2</v>
      </c>
    </row>
    <row r="161" spans="1:7" x14ac:dyDescent="0.35">
      <c r="A161" s="15">
        <v>45751</v>
      </c>
      <c r="B161" s="6">
        <v>239.43</v>
      </c>
      <c r="C161" s="6">
        <v>255.38</v>
      </c>
      <c r="D161" s="6">
        <v>261</v>
      </c>
      <c r="E161" s="6">
        <v>236</v>
      </c>
      <c r="F161" s="6" t="s">
        <v>391</v>
      </c>
      <c r="G161" s="16">
        <v>-0.1042</v>
      </c>
    </row>
    <row r="162" spans="1:7" x14ac:dyDescent="0.35">
      <c r="A162" s="15">
        <v>45750</v>
      </c>
      <c r="B162" s="6">
        <v>267.27999999999997</v>
      </c>
      <c r="C162" s="6">
        <v>265.29000000000002</v>
      </c>
      <c r="D162" s="6">
        <v>276.3</v>
      </c>
      <c r="E162" s="6">
        <v>261.51</v>
      </c>
      <c r="F162" s="6" t="s">
        <v>392</v>
      </c>
      <c r="G162" s="16">
        <v>-5.4699999999999999E-2</v>
      </c>
    </row>
    <row r="163" spans="1:7" x14ac:dyDescent="0.35">
      <c r="A163" s="15">
        <v>45749</v>
      </c>
      <c r="B163" s="6">
        <v>282.76</v>
      </c>
      <c r="C163" s="6">
        <v>254.6</v>
      </c>
      <c r="D163" s="6">
        <v>284.99</v>
      </c>
      <c r="E163" s="6">
        <v>251.27</v>
      </c>
      <c r="F163" s="6" t="s">
        <v>393</v>
      </c>
      <c r="G163" s="16">
        <v>5.33E-2</v>
      </c>
    </row>
    <row r="164" spans="1:7" x14ac:dyDescent="0.35">
      <c r="A164" s="15">
        <v>45748</v>
      </c>
      <c r="B164" s="6">
        <v>268.45999999999998</v>
      </c>
      <c r="C164" s="6">
        <v>263.8</v>
      </c>
      <c r="D164" s="6">
        <v>277.45</v>
      </c>
      <c r="E164" s="6">
        <v>259.25</v>
      </c>
      <c r="F164" s="6" t="s">
        <v>394</v>
      </c>
      <c r="G164" s="16">
        <v>3.5900000000000001E-2</v>
      </c>
    </row>
    <row r="165" spans="1:7" x14ac:dyDescent="0.35">
      <c r="A165" s="15">
        <v>45747</v>
      </c>
      <c r="B165" s="6">
        <v>259.16000000000003</v>
      </c>
      <c r="C165" s="6">
        <v>249.31</v>
      </c>
      <c r="D165" s="6">
        <v>260.56</v>
      </c>
      <c r="E165" s="6">
        <v>243.36</v>
      </c>
      <c r="F165" s="6" t="s">
        <v>395</v>
      </c>
      <c r="G165" s="16">
        <v>-1.67E-2</v>
      </c>
    </row>
    <row r="166" spans="1:7" x14ac:dyDescent="0.35">
      <c r="A166" s="15">
        <v>45744</v>
      </c>
      <c r="B166" s="6">
        <v>263.55</v>
      </c>
      <c r="C166" s="6">
        <v>275.58</v>
      </c>
      <c r="D166" s="6">
        <v>276.10000000000002</v>
      </c>
      <c r="E166" s="6">
        <v>260.57</v>
      </c>
      <c r="F166" s="6" t="s">
        <v>396</v>
      </c>
      <c r="G166" s="16">
        <v>-3.5099999999999999E-2</v>
      </c>
    </row>
    <row r="167" spans="1:7" x14ac:dyDescent="0.35">
      <c r="A167" s="15">
        <v>45743</v>
      </c>
      <c r="B167" s="6">
        <v>273.13</v>
      </c>
      <c r="C167" s="6">
        <v>272.48</v>
      </c>
      <c r="D167" s="6">
        <v>291.85000000000002</v>
      </c>
      <c r="E167" s="6">
        <v>271.82</v>
      </c>
      <c r="F167" s="6" t="s">
        <v>397</v>
      </c>
      <c r="G167" s="16">
        <v>3.8999999999999998E-3</v>
      </c>
    </row>
    <row r="168" spans="1:7" x14ac:dyDescent="0.35">
      <c r="A168" s="15">
        <v>45742</v>
      </c>
      <c r="B168" s="6">
        <v>272.06</v>
      </c>
      <c r="C168" s="6">
        <v>282.66000000000003</v>
      </c>
      <c r="D168" s="6">
        <v>284.89999999999998</v>
      </c>
      <c r="E168" s="6">
        <v>266.51</v>
      </c>
      <c r="F168" s="6" t="s">
        <v>398</v>
      </c>
      <c r="G168" s="16">
        <v>-5.5800000000000002E-2</v>
      </c>
    </row>
    <row r="169" spans="1:7" x14ac:dyDescent="0.35">
      <c r="A169" s="15">
        <v>45741</v>
      </c>
      <c r="B169" s="6">
        <v>288.14</v>
      </c>
      <c r="C169" s="6">
        <v>283.60000000000002</v>
      </c>
      <c r="D169" s="6">
        <v>288.2</v>
      </c>
      <c r="E169" s="6">
        <v>271.27999999999997</v>
      </c>
      <c r="F169" s="6" t="s">
        <v>399</v>
      </c>
      <c r="G169" s="16">
        <v>3.5000000000000003E-2</v>
      </c>
    </row>
    <row r="170" spans="1:7" x14ac:dyDescent="0.35">
      <c r="A170" s="15">
        <v>45740</v>
      </c>
      <c r="B170" s="6">
        <v>278.39</v>
      </c>
      <c r="C170" s="6">
        <v>258.08</v>
      </c>
      <c r="D170" s="6">
        <v>278.64</v>
      </c>
      <c r="E170" s="6">
        <v>256.33</v>
      </c>
      <c r="F170" s="6" t="s">
        <v>162</v>
      </c>
      <c r="G170" s="16">
        <v>0.1193</v>
      </c>
    </row>
    <row r="171" spans="1:7" x14ac:dyDescent="0.35">
      <c r="A171" s="15">
        <v>45737</v>
      </c>
      <c r="B171" s="6">
        <v>248.71</v>
      </c>
      <c r="C171" s="6">
        <v>234.99</v>
      </c>
      <c r="D171" s="6">
        <v>249.52</v>
      </c>
      <c r="E171" s="6">
        <v>234.55</v>
      </c>
      <c r="F171" s="6" t="s">
        <v>400</v>
      </c>
      <c r="G171" s="16">
        <v>5.2699999999999997E-2</v>
      </c>
    </row>
    <row r="172" spans="1:7" x14ac:dyDescent="0.35">
      <c r="A172" s="15">
        <v>45736</v>
      </c>
      <c r="B172" s="6">
        <v>236.26</v>
      </c>
      <c r="C172" s="6">
        <v>233.35</v>
      </c>
      <c r="D172" s="6">
        <v>238</v>
      </c>
      <c r="E172" s="6">
        <v>230.05</v>
      </c>
      <c r="F172" s="6" t="s">
        <v>401</v>
      </c>
      <c r="G172" s="16">
        <v>1.6999999999999999E-3</v>
      </c>
    </row>
    <row r="173" spans="1:7" x14ac:dyDescent="0.35">
      <c r="A173" s="15">
        <v>45735</v>
      </c>
      <c r="B173" s="6">
        <v>235.86</v>
      </c>
      <c r="C173" s="6">
        <v>231.61</v>
      </c>
      <c r="D173" s="6">
        <v>241.41</v>
      </c>
      <c r="E173" s="6">
        <v>229.2</v>
      </c>
      <c r="F173" s="6" t="s">
        <v>402</v>
      </c>
      <c r="G173" s="16">
        <v>4.6800000000000001E-2</v>
      </c>
    </row>
    <row r="174" spans="1:7" x14ac:dyDescent="0.35">
      <c r="A174" s="15">
        <v>45734</v>
      </c>
      <c r="B174" s="6">
        <v>225.31</v>
      </c>
      <c r="C174" s="6">
        <v>228.15</v>
      </c>
      <c r="D174" s="6">
        <v>230.1</v>
      </c>
      <c r="E174" s="6">
        <v>222.28</v>
      </c>
      <c r="F174" s="6" t="s">
        <v>403</v>
      </c>
      <c r="G174" s="16">
        <v>-5.3400000000000003E-2</v>
      </c>
    </row>
    <row r="175" spans="1:7" x14ac:dyDescent="0.35">
      <c r="A175" s="15">
        <v>45733</v>
      </c>
      <c r="B175" s="6">
        <v>238.01</v>
      </c>
      <c r="C175" s="6">
        <v>245.05</v>
      </c>
      <c r="D175" s="6">
        <v>245.4</v>
      </c>
      <c r="E175" s="6">
        <v>232.8</v>
      </c>
      <c r="F175" s="6" t="s">
        <v>404</v>
      </c>
      <c r="G175" s="16">
        <v>-4.7899999999999998E-2</v>
      </c>
    </row>
    <row r="176" spans="1:7" x14ac:dyDescent="0.35">
      <c r="A176" s="15">
        <v>45730</v>
      </c>
      <c r="B176" s="6">
        <v>249.98</v>
      </c>
      <c r="C176" s="6">
        <v>247.31</v>
      </c>
      <c r="D176" s="6">
        <v>251.58</v>
      </c>
      <c r="E176" s="6">
        <v>240.73</v>
      </c>
      <c r="F176" s="6" t="s">
        <v>405</v>
      </c>
      <c r="G176" s="16">
        <v>3.8600000000000002E-2</v>
      </c>
    </row>
    <row r="177" spans="1:7" x14ac:dyDescent="0.35">
      <c r="A177" s="15">
        <v>45729</v>
      </c>
      <c r="B177" s="6">
        <v>240.68</v>
      </c>
      <c r="C177" s="6">
        <v>248.13</v>
      </c>
      <c r="D177" s="6">
        <v>248.29</v>
      </c>
      <c r="E177" s="6">
        <v>232.6</v>
      </c>
      <c r="F177" s="6" t="s">
        <v>406</v>
      </c>
      <c r="G177" s="16">
        <v>-2.9899999999999999E-2</v>
      </c>
    </row>
    <row r="178" spans="1:7" x14ac:dyDescent="0.35">
      <c r="A178" s="15">
        <v>45728</v>
      </c>
      <c r="B178" s="6">
        <v>248.09</v>
      </c>
      <c r="C178" s="6">
        <v>247.22</v>
      </c>
      <c r="D178" s="6">
        <v>251.84</v>
      </c>
      <c r="E178" s="6">
        <v>241.1</v>
      </c>
      <c r="F178" s="6" t="s">
        <v>407</v>
      </c>
      <c r="G178" s="16">
        <v>7.5899999999999995E-2</v>
      </c>
    </row>
    <row r="179" spans="1:7" x14ac:dyDescent="0.35">
      <c r="A179" s="15">
        <v>45727</v>
      </c>
      <c r="B179" s="6">
        <v>230.58</v>
      </c>
      <c r="C179" s="6">
        <v>225.3</v>
      </c>
      <c r="D179" s="6">
        <v>237.06</v>
      </c>
      <c r="E179" s="6">
        <v>217.02</v>
      </c>
      <c r="F179" s="6" t="s">
        <v>408</v>
      </c>
      <c r="G179" s="16">
        <v>3.7900000000000003E-2</v>
      </c>
    </row>
    <row r="180" spans="1:7" x14ac:dyDescent="0.35">
      <c r="A180" s="15">
        <v>45726</v>
      </c>
      <c r="B180" s="6">
        <v>222.15</v>
      </c>
      <c r="C180" s="6">
        <v>252.54</v>
      </c>
      <c r="D180" s="6">
        <v>253.37</v>
      </c>
      <c r="E180" s="6">
        <v>220</v>
      </c>
      <c r="F180" s="6" t="s">
        <v>409</v>
      </c>
      <c r="G180" s="16">
        <v>-0.15429999999999999</v>
      </c>
    </row>
    <row r="181" spans="1:7" x14ac:dyDescent="0.35">
      <c r="A181" s="15">
        <v>45723</v>
      </c>
      <c r="B181" s="6">
        <v>262.67</v>
      </c>
      <c r="C181" s="6">
        <v>259.32</v>
      </c>
      <c r="D181" s="6">
        <v>266.25</v>
      </c>
      <c r="E181" s="6">
        <v>250.73</v>
      </c>
      <c r="F181" s="6" t="s">
        <v>410</v>
      </c>
      <c r="G181" s="16">
        <v>-3.0000000000000001E-3</v>
      </c>
    </row>
    <row r="182" spans="1:7" x14ac:dyDescent="0.35">
      <c r="A182" s="15">
        <v>45722</v>
      </c>
      <c r="B182" s="6">
        <v>263.45</v>
      </c>
      <c r="C182" s="6">
        <v>272.06</v>
      </c>
      <c r="D182" s="6">
        <v>272.64999999999998</v>
      </c>
      <c r="E182" s="6">
        <v>260.02</v>
      </c>
      <c r="F182" s="6" t="s">
        <v>411</v>
      </c>
      <c r="G182" s="16">
        <v>-5.6099999999999997E-2</v>
      </c>
    </row>
    <row r="183" spans="1:7" x14ac:dyDescent="0.35">
      <c r="A183" s="15">
        <v>45721</v>
      </c>
      <c r="B183" s="6">
        <v>279.10000000000002</v>
      </c>
      <c r="C183" s="6">
        <v>272.92</v>
      </c>
      <c r="D183" s="6">
        <v>279.55</v>
      </c>
      <c r="E183" s="6">
        <v>267.70999999999998</v>
      </c>
      <c r="F183" s="6" t="s">
        <v>412</v>
      </c>
      <c r="G183" s="16">
        <v>2.5999999999999999E-2</v>
      </c>
    </row>
    <row r="184" spans="1:7" x14ac:dyDescent="0.35">
      <c r="A184" s="15">
        <v>45720</v>
      </c>
      <c r="B184" s="6">
        <v>272.04000000000002</v>
      </c>
      <c r="C184" s="6">
        <v>270.93</v>
      </c>
      <c r="D184" s="6">
        <v>284.35000000000002</v>
      </c>
      <c r="E184" s="6">
        <v>261.83999999999997</v>
      </c>
      <c r="F184" s="6" t="s">
        <v>257</v>
      </c>
      <c r="G184" s="16">
        <v>-4.4299999999999999E-2</v>
      </c>
    </row>
    <row r="185" spans="1:7" x14ac:dyDescent="0.35">
      <c r="A185" s="15">
        <v>45719</v>
      </c>
      <c r="B185" s="6">
        <v>284.64999999999998</v>
      </c>
      <c r="C185" s="6">
        <v>300.33999999999997</v>
      </c>
      <c r="D185" s="6">
        <v>303.94</v>
      </c>
      <c r="E185" s="6">
        <v>277.3</v>
      </c>
      <c r="F185" s="6" t="s">
        <v>413</v>
      </c>
      <c r="G185" s="16">
        <v>-2.8400000000000002E-2</v>
      </c>
    </row>
    <row r="186" spans="1:7" x14ac:dyDescent="0.35">
      <c r="A186" s="15">
        <v>45716</v>
      </c>
      <c r="B186" s="6">
        <v>292.98</v>
      </c>
      <c r="C186" s="6">
        <v>279.5</v>
      </c>
      <c r="D186" s="6">
        <v>293.88</v>
      </c>
      <c r="E186" s="6">
        <v>273.60000000000002</v>
      </c>
      <c r="F186" s="6" t="s">
        <v>414</v>
      </c>
      <c r="G186" s="16">
        <v>3.9100000000000003E-2</v>
      </c>
    </row>
    <row r="187" spans="1:7" x14ac:dyDescent="0.35">
      <c r="A187" s="15">
        <v>45715</v>
      </c>
      <c r="B187" s="6">
        <v>281.95</v>
      </c>
      <c r="C187" s="6">
        <v>291.16000000000003</v>
      </c>
      <c r="D187" s="6">
        <v>297.23</v>
      </c>
      <c r="E187" s="6">
        <v>280.88</v>
      </c>
      <c r="F187" s="6" t="s">
        <v>415</v>
      </c>
      <c r="G187" s="16">
        <v>-3.04E-2</v>
      </c>
    </row>
    <row r="188" spans="1:7" x14ac:dyDescent="0.35">
      <c r="A188" s="15">
        <v>45714</v>
      </c>
      <c r="B188" s="6">
        <v>290.8</v>
      </c>
      <c r="C188" s="6">
        <v>303.70999999999998</v>
      </c>
      <c r="D188" s="6">
        <v>309</v>
      </c>
      <c r="E188" s="6">
        <v>288.04000000000002</v>
      </c>
      <c r="F188" s="6" t="s">
        <v>416</v>
      </c>
      <c r="G188" s="16">
        <v>-3.9600000000000003E-2</v>
      </c>
    </row>
    <row r="189" spans="1:7" x14ac:dyDescent="0.35">
      <c r="A189" s="15">
        <v>45713</v>
      </c>
      <c r="B189" s="6">
        <v>302.8</v>
      </c>
      <c r="C189" s="6">
        <v>327.02</v>
      </c>
      <c r="D189" s="6">
        <v>328.89</v>
      </c>
      <c r="E189" s="6">
        <v>297.25</v>
      </c>
      <c r="F189" s="6" t="s">
        <v>417</v>
      </c>
      <c r="G189" s="16">
        <v>-8.3900000000000002E-2</v>
      </c>
    </row>
    <row r="190" spans="1:7" x14ac:dyDescent="0.35">
      <c r="A190" s="15">
        <v>45712</v>
      </c>
      <c r="B190" s="6">
        <v>330.53</v>
      </c>
      <c r="C190" s="6">
        <v>338.14</v>
      </c>
      <c r="D190" s="6">
        <v>342.4</v>
      </c>
      <c r="E190" s="6">
        <v>324.7</v>
      </c>
      <c r="F190" s="6" t="s">
        <v>418</v>
      </c>
      <c r="G190" s="16">
        <v>-2.1499999999999998E-2</v>
      </c>
    </row>
    <row r="191" spans="1:7" x14ac:dyDescent="0.35">
      <c r="A191" s="15">
        <v>45709</v>
      </c>
      <c r="B191" s="6">
        <v>337.8</v>
      </c>
      <c r="C191" s="6">
        <v>353.44</v>
      </c>
      <c r="D191" s="6">
        <v>354.98</v>
      </c>
      <c r="E191" s="6">
        <v>334.42</v>
      </c>
      <c r="F191" s="6" t="s">
        <v>419</v>
      </c>
      <c r="G191" s="16">
        <v>-4.6800000000000001E-2</v>
      </c>
    </row>
    <row r="192" spans="1:7" x14ac:dyDescent="0.35">
      <c r="A192" s="15">
        <v>45708</v>
      </c>
      <c r="B192" s="6">
        <v>354.4</v>
      </c>
      <c r="C192" s="6">
        <v>361.51</v>
      </c>
      <c r="D192" s="6">
        <v>362.3</v>
      </c>
      <c r="E192" s="6">
        <v>348</v>
      </c>
      <c r="F192" s="6" t="s">
        <v>420</v>
      </c>
      <c r="G192" s="16">
        <v>-1.7100000000000001E-2</v>
      </c>
    </row>
    <row r="193" spans="1:7" x14ac:dyDescent="0.35">
      <c r="A193" s="15">
        <v>45707</v>
      </c>
      <c r="B193" s="6">
        <v>360.56</v>
      </c>
      <c r="C193" s="6">
        <v>354</v>
      </c>
      <c r="D193" s="6">
        <v>367.34</v>
      </c>
      <c r="E193" s="6">
        <v>353.67</v>
      </c>
      <c r="F193" s="6" t="s">
        <v>421</v>
      </c>
      <c r="G193" s="16">
        <v>1.8200000000000001E-2</v>
      </c>
    </row>
    <row r="194" spans="1:7" x14ac:dyDescent="0.35">
      <c r="A194" s="15">
        <v>45706</v>
      </c>
      <c r="B194" s="6">
        <v>354.11</v>
      </c>
      <c r="C194" s="6">
        <v>355.01</v>
      </c>
      <c r="D194" s="6">
        <v>359.1</v>
      </c>
      <c r="E194" s="6">
        <v>350.02</v>
      </c>
      <c r="F194" s="6" t="s">
        <v>422</v>
      </c>
      <c r="G194" s="16">
        <v>-4.8999999999999998E-3</v>
      </c>
    </row>
    <row r="195" spans="1:7" x14ac:dyDescent="0.35">
      <c r="A195" s="15">
        <v>45702</v>
      </c>
      <c r="B195" s="6">
        <v>355.84</v>
      </c>
      <c r="C195" s="6">
        <v>360.62</v>
      </c>
      <c r="D195" s="6">
        <v>362</v>
      </c>
      <c r="E195" s="6">
        <v>347.5</v>
      </c>
      <c r="F195" s="6" t="s">
        <v>423</v>
      </c>
      <c r="G195" s="16">
        <v>-2.9999999999999997E-4</v>
      </c>
    </row>
    <row r="196" spans="1:7" x14ac:dyDescent="0.35">
      <c r="A196" s="15">
        <v>45701</v>
      </c>
      <c r="B196" s="6">
        <v>355.94</v>
      </c>
      <c r="C196" s="6">
        <v>345</v>
      </c>
      <c r="D196" s="6">
        <v>358.69</v>
      </c>
      <c r="E196" s="6">
        <v>342.85</v>
      </c>
      <c r="F196" s="6" t="s">
        <v>424</v>
      </c>
      <c r="G196" s="16">
        <v>5.7700000000000001E-2</v>
      </c>
    </row>
    <row r="197" spans="1:7" x14ac:dyDescent="0.35">
      <c r="A197" s="15">
        <v>45700</v>
      </c>
      <c r="B197" s="6">
        <v>336.51</v>
      </c>
      <c r="C197" s="6">
        <v>329.94</v>
      </c>
      <c r="D197" s="6">
        <v>346.4</v>
      </c>
      <c r="E197" s="6">
        <v>329.12</v>
      </c>
      <c r="F197" s="6" t="s">
        <v>183</v>
      </c>
      <c r="G197" s="16">
        <v>2.4400000000000002E-2</v>
      </c>
    </row>
    <row r="198" spans="1:7" x14ac:dyDescent="0.35">
      <c r="A198" s="15">
        <v>45699</v>
      </c>
      <c r="B198" s="6">
        <v>328.5</v>
      </c>
      <c r="C198" s="6">
        <v>345.8</v>
      </c>
      <c r="D198" s="6">
        <v>349.37</v>
      </c>
      <c r="E198" s="6">
        <v>325.10000000000002</v>
      </c>
      <c r="F198" s="6" t="s">
        <v>425</v>
      </c>
      <c r="G198" s="16">
        <v>-6.3399999999999998E-2</v>
      </c>
    </row>
    <row r="199" spans="1:7" x14ac:dyDescent="0.35">
      <c r="A199" s="15">
        <v>45698</v>
      </c>
      <c r="B199" s="6">
        <v>350.73</v>
      </c>
      <c r="C199" s="6">
        <v>356.21</v>
      </c>
      <c r="D199" s="6">
        <v>362.7</v>
      </c>
      <c r="E199" s="6">
        <v>350.51</v>
      </c>
      <c r="F199" s="6" t="s">
        <v>426</v>
      </c>
      <c r="G199" s="16">
        <v>-3.0099999999999998E-2</v>
      </c>
    </row>
    <row r="200" spans="1:7" x14ac:dyDescent="0.35">
      <c r="A200" s="15">
        <v>45695</v>
      </c>
      <c r="B200" s="6">
        <v>361.62</v>
      </c>
      <c r="C200" s="6">
        <v>370.19</v>
      </c>
      <c r="D200" s="6">
        <v>380.55</v>
      </c>
      <c r="E200" s="6">
        <v>360.34</v>
      </c>
      <c r="F200" s="6" t="s">
        <v>427</v>
      </c>
      <c r="G200" s="16">
        <v>-3.39E-2</v>
      </c>
    </row>
    <row r="201" spans="1:7" x14ac:dyDescent="0.35">
      <c r="A201" s="15">
        <v>45694</v>
      </c>
      <c r="B201" s="6">
        <v>374.32</v>
      </c>
      <c r="C201" s="6">
        <v>373.03</v>
      </c>
      <c r="D201" s="6">
        <v>375.4</v>
      </c>
      <c r="E201" s="6">
        <v>363.18</v>
      </c>
      <c r="F201" s="6" t="s">
        <v>428</v>
      </c>
      <c r="G201" s="16">
        <v>-1.0200000000000001E-2</v>
      </c>
    </row>
    <row r="202" spans="1:7" x14ac:dyDescent="0.35">
      <c r="A202" s="15">
        <v>45693</v>
      </c>
      <c r="B202" s="6">
        <v>378.17</v>
      </c>
      <c r="C202" s="6">
        <v>387.51</v>
      </c>
      <c r="D202" s="6">
        <v>388.39</v>
      </c>
      <c r="E202" s="6">
        <v>375.53</v>
      </c>
      <c r="F202" s="6" t="s">
        <v>429</v>
      </c>
      <c r="G202" s="16">
        <v>-3.5799999999999998E-2</v>
      </c>
    </row>
    <row r="203" spans="1:7" x14ac:dyDescent="0.35">
      <c r="A203" s="15">
        <v>45692</v>
      </c>
      <c r="B203" s="6">
        <v>392.21</v>
      </c>
      <c r="C203" s="6">
        <v>382.63</v>
      </c>
      <c r="D203" s="6">
        <v>394</v>
      </c>
      <c r="E203" s="6">
        <v>381.4</v>
      </c>
      <c r="F203" s="6" t="s">
        <v>430</v>
      </c>
      <c r="G203" s="16">
        <v>2.2200000000000001E-2</v>
      </c>
    </row>
    <row r="204" spans="1:7" x14ac:dyDescent="0.35">
      <c r="A204" s="15">
        <v>45691</v>
      </c>
      <c r="B204" s="6">
        <v>383.68</v>
      </c>
      <c r="C204" s="6">
        <v>386.68</v>
      </c>
      <c r="D204" s="6">
        <v>389.17</v>
      </c>
      <c r="E204" s="6">
        <v>374.36</v>
      </c>
      <c r="F204" s="6" t="s">
        <v>431</v>
      </c>
      <c r="G204" s="16">
        <v>-5.1700000000000003E-2</v>
      </c>
    </row>
    <row r="205" spans="1:7" x14ac:dyDescent="0.35">
      <c r="A205" s="15">
        <v>45688</v>
      </c>
      <c r="B205" s="6">
        <v>404.6</v>
      </c>
      <c r="C205" s="6">
        <v>401.53</v>
      </c>
      <c r="D205" s="6">
        <v>419.99</v>
      </c>
      <c r="E205" s="6">
        <v>401.34</v>
      </c>
      <c r="F205" s="6" t="s">
        <v>432</v>
      </c>
      <c r="G205" s="16">
        <v>1.0800000000000001E-2</v>
      </c>
    </row>
    <row r="206" spans="1:7" x14ac:dyDescent="0.35">
      <c r="A206" s="15">
        <v>45687</v>
      </c>
      <c r="B206" s="6">
        <v>400.28</v>
      </c>
      <c r="C206" s="6">
        <v>410.78</v>
      </c>
      <c r="D206" s="6">
        <v>412.5</v>
      </c>
      <c r="E206" s="6">
        <v>384.41</v>
      </c>
      <c r="F206" s="6" t="s">
        <v>433</v>
      </c>
      <c r="G206" s="16">
        <v>2.87E-2</v>
      </c>
    </row>
    <row r="207" spans="1:7" x14ac:dyDescent="0.35">
      <c r="A207" s="15">
        <v>45686</v>
      </c>
      <c r="B207" s="6">
        <v>389.1</v>
      </c>
      <c r="C207" s="6">
        <v>395.21</v>
      </c>
      <c r="D207" s="6">
        <v>398.59</v>
      </c>
      <c r="E207" s="6">
        <v>384.48</v>
      </c>
      <c r="F207" s="6" t="s">
        <v>434</v>
      </c>
      <c r="G207" s="16">
        <v>-2.2599999999999999E-2</v>
      </c>
    </row>
    <row r="208" spans="1:7" x14ac:dyDescent="0.35">
      <c r="A208" s="15">
        <v>45685</v>
      </c>
      <c r="B208" s="6">
        <v>398.09</v>
      </c>
      <c r="C208" s="6">
        <v>396.91</v>
      </c>
      <c r="D208" s="6">
        <v>400.59</v>
      </c>
      <c r="E208" s="6">
        <v>386.5</v>
      </c>
      <c r="F208" s="6" t="s">
        <v>435</v>
      </c>
      <c r="G208" s="16">
        <v>2.3999999999999998E-3</v>
      </c>
    </row>
    <row r="209" spans="1:7" x14ac:dyDescent="0.35">
      <c r="A209" s="15">
        <v>45684</v>
      </c>
      <c r="B209" s="6">
        <v>397.15</v>
      </c>
      <c r="C209" s="6">
        <v>394.8</v>
      </c>
      <c r="D209" s="6">
        <v>406.69</v>
      </c>
      <c r="E209" s="6">
        <v>389</v>
      </c>
      <c r="F209" s="6" t="s">
        <v>436</v>
      </c>
      <c r="G209" s="16">
        <v>-2.3199999999999998E-2</v>
      </c>
    </row>
    <row r="210" spans="1:7" x14ac:dyDescent="0.35">
      <c r="A210" s="15">
        <v>45681</v>
      </c>
      <c r="B210" s="6">
        <v>406.58</v>
      </c>
      <c r="C210" s="6">
        <v>414.45</v>
      </c>
      <c r="D210" s="6">
        <v>418.88</v>
      </c>
      <c r="E210" s="6">
        <v>405.78</v>
      </c>
      <c r="F210" s="6" t="s">
        <v>437</v>
      </c>
      <c r="G210" s="16">
        <v>-1.41E-2</v>
      </c>
    </row>
    <row r="211" spans="1:7" x14ac:dyDescent="0.35">
      <c r="A211" s="15">
        <v>45680</v>
      </c>
      <c r="B211" s="6">
        <v>412.38</v>
      </c>
      <c r="C211" s="6">
        <v>416.06</v>
      </c>
      <c r="D211" s="6">
        <v>420.73</v>
      </c>
      <c r="E211" s="6">
        <v>408.95</v>
      </c>
      <c r="F211" s="6" t="s">
        <v>438</v>
      </c>
      <c r="G211" s="16">
        <v>-6.6E-3</v>
      </c>
    </row>
    <row r="212" spans="1:7" x14ac:dyDescent="0.35">
      <c r="A212" s="15">
        <v>45679</v>
      </c>
      <c r="B212" s="6">
        <v>415.11</v>
      </c>
      <c r="C212" s="6">
        <v>416.81</v>
      </c>
      <c r="D212" s="6">
        <v>428</v>
      </c>
      <c r="E212" s="6">
        <v>414.59</v>
      </c>
      <c r="F212" s="6" t="s">
        <v>439</v>
      </c>
      <c r="G212" s="16">
        <v>-2.1100000000000001E-2</v>
      </c>
    </row>
    <row r="213" spans="1:7" x14ac:dyDescent="0.35">
      <c r="A213" s="15">
        <v>45678</v>
      </c>
      <c r="B213" s="6">
        <v>424.07</v>
      </c>
      <c r="C213" s="6">
        <v>432.64</v>
      </c>
      <c r="D213" s="6">
        <v>433.2</v>
      </c>
      <c r="E213" s="6">
        <v>406.31</v>
      </c>
      <c r="F213" s="6" t="s">
        <v>440</v>
      </c>
      <c r="G213" s="16">
        <v>-5.7000000000000002E-3</v>
      </c>
    </row>
    <row r="214" spans="1:7" x14ac:dyDescent="0.35">
      <c r="A214" s="15">
        <v>45674</v>
      </c>
      <c r="B214" s="6">
        <v>426.5</v>
      </c>
      <c r="C214" s="6">
        <v>421.5</v>
      </c>
      <c r="D214" s="6">
        <v>439.74</v>
      </c>
      <c r="E214" s="6">
        <v>419.75</v>
      </c>
      <c r="F214" s="6" t="s">
        <v>441</v>
      </c>
      <c r="G214" s="16">
        <v>3.0599999999999999E-2</v>
      </c>
    </row>
    <row r="215" spans="1:7" x14ac:dyDescent="0.35">
      <c r="A215" s="15">
        <v>45673</v>
      </c>
      <c r="B215" s="6">
        <v>413.82</v>
      </c>
      <c r="C215" s="6">
        <v>423.49</v>
      </c>
      <c r="D215" s="6">
        <v>424</v>
      </c>
      <c r="E215" s="6">
        <v>409.13</v>
      </c>
      <c r="F215" s="6" t="s">
        <v>442</v>
      </c>
      <c r="G215" s="16">
        <v>-3.3599999999999998E-2</v>
      </c>
    </row>
    <row r="216" spans="1:7" x14ac:dyDescent="0.35">
      <c r="A216" s="15">
        <v>45672</v>
      </c>
      <c r="B216" s="6">
        <v>428.22</v>
      </c>
      <c r="C216" s="6">
        <v>409.9</v>
      </c>
      <c r="D216" s="6">
        <v>429.8</v>
      </c>
      <c r="E216" s="6">
        <v>405.66</v>
      </c>
      <c r="F216" s="6" t="s">
        <v>443</v>
      </c>
      <c r="G216" s="16">
        <v>8.0399999999999999E-2</v>
      </c>
    </row>
    <row r="217" spans="1:7" x14ac:dyDescent="0.35">
      <c r="A217" s="15">
        <v>45671</v>
      </c>
      <c r="B217" s="6">
        <v>396.36</v>
      </c>
      <c r="C217" s="6">
        <v>414.34</v>
      </c>
      <c r="D217" s="6">
        <v>422.64</v>
      </c>
      <c r="E217" s="6">
        <v>394.54</v>
      </c>
      <c r="F217" s="6" t="s">
        <v>444</v>
      </c>
      <c r="G217" s="16">
        <v>-1.72E-2</v>
      </c>
    </row>
    <row r="218" spans="1:7" x14ac:dyDescent="0.35">
      <c r="A218" s="15">
        <v>45670</v>
      </c>
      <c r="B218" s="6">
        <v>403.31</v>
      </c>
      <c r="C218" s="6">
        <v>383.21</v>
      </c>
      <c r="D218" s="6">
        <v>403.79</v>
      </c>
      <c r="E218" s="6">
        <v>380.07</v>
      </c>
      <c r="F218" s="6" t="s">
        <v>445</v>
      </c>
      <c r="G218" s="16">
        <v>2.1700000000000001E-2</v>
      </c>
    </row>
    <row r="219" spans="1:7" x14ac:dyDescent="0.35">
      <c r="A219" s="15">
        <v>45667</v>
      </c>
      <c r="B219" s="6">
        <v>394.74</v>
      </c>
      <c r="C219" s="6">
        <v>391.4</v>
      </c>
      <c r="D219" s="6">
        <v>399.28</v>
      </c>
      <c r="E219" s="6">
        <v>377.29</v>
      </c>
      <c r="F219" s="6" t="s">
        <v>446</v>
      </c>
      <c r="G219" s="16">
        <v>-5.0000000000000001E-4</v>
      </c>
    </row>
    <row r="220" spans="1:7" x14ac:dyDescent="0.35">
      <c r="A220" s="15">
        <v>45665</v>
      </c>
      <c r="B220" s="6">
        <v>394.94</v>
      </c>
      <c r="C220" s="6">
        <v>392.95</v>
      </c>
      <c r="D220" s="6">
        <v>402.5</v>
      </c>
      <c r="E220" s="6">
        <v>387.4</v>
      </c>
      <c r="F220" s="6" t="s">
        <v>447</v>
      </c>
      <c r="G220" s="16">
        <v>1.5E-3</v>
      </c>
    </row>
    <row r="221" spans="1:7" x14ac:dyDescent="0.35">
      <c r="A221" s="15">
        <v>45664</v>
      </c>
      <c r="B221" s="6">
        <v>394.36</v>
      </c>
      <c r="C221" s="6">
        <v>405.83</v>
      </c>
      <c r="D221" s="6">
        <v>414.33</v>
      </c>
      <c r="E221" s="6">
        <v>390</v>
      </c>
      <c r="F221" s="6" t="s">
        <v>448</v>
      </c>
      <c r="G221" s="16">
        <v>-4.0599999999999997E-2</v>
      </c>
    </row>
    <row r="222" spans="1:7" x14ac:dyDescent="0.35">
      <c r="A222" s="15">
        <v>45663</v>
      </c>
      <c r="B222" s="6">
        <v>411.05</v>
      </c>
      <c r="C222" s="6">
        <v>423.2</v>
      </c>
      <c r="D222" s="6">
        <v>426.43</v>
      </c>
      <c r="E222" s="6">
        <v>401.7</v>
      </c>
      <c r="F222" s="6" t="s">
        <v>449</v>
      </c>
      <c r="G222" s="16">
        <v>1.5E-3</v>
      </c>
    </row>
    <row r="223" spans="1:7" x14ac:dyDescent="0.35">
      <c r="A223" s="15">
        <v>45660</v>
      </c>
      <c r="B223" s="6">
        <v>410.44</v>
      </c>
      <c r="C223" s="6">
        <v>381.48</v>
      </c>
      <c r="D223" s="6">
        <v>411.88</v>
      </c>
      <c r="E223" s="6">
        <v>379.45</v>
      </c>
      <c r="F223" s="6" t="s">
        <v>450</v>
      </c>
      <c r="G223" s="16">
        <v>8.2199999999999995E-2</v>
      </c>
    </row>
    <row r="224" spans="1:7" x14ac:dyDescent="0.35">
      <c r="A224" s="15">
        <v>45659</v>
      </c>
      <c r="B224" s="6">
        <v>379.28</v>
      </c>
      <c r="C224" s="6">
        <v>390.1</v>
      </c>
      <c r="D224" s="6">
        <v>392.73</v>
      </c>
      <c r="E224" s="6">
        <v>373.04</v>
      </c>
      <c r="F224" s="6" t="s">
        <v>451</v>
      </c>
      <c r="G224" s="16">
        <v>-6.08E-2</v>
      </c>
    </row>
  </sheetData>
  <conditionalFormatting sqref="B2:B2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36"/>
  <sheetViews>
    <sheetView tabSelected="1" workbookViewId="0">
      <pane ySplit="1" topLeftCell="A41" activePane="bottomLeft" state="frozen"/>
      <selection pane="bottomLeft" activeCell="D43" sqref="D43"/>
    </sheetView>
  </sheetViews>
  <sheetFormatPr defaultRowHeight="14.5" x14ac:dyDescent="0.35"/>
  <cols>
    <col min="1" max="1" width="11.08984375" customWidth="1"/>
    <col min="2" max="2" width="16" customWidth="1"/>
    <col min="7" max="7" width="8.90625" customWidth="1"/>
    <col min="8" max="8" width="10.26953125" customWidth="1"/>
    <col min="9" max="9" width="10.453125" customWidth="1"/>
  </cols>
  <sheetData>
    <row r="1" spans="1:10" ht="43.5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226</v>
      </c>
      <c r="I1" s="5" t="s">
        <v>227</v>
      </c>
      <c r="J1" s="23" t="s">
        <v>460</v>
      </c>
    </row>
    <row r="2" spans="1:10" x14ac:dyDescent="0.35">
      <c r="A2" s="17">
        <v>45660</v>
      </c>
      <c r="B2" s="18">
        <v>410.44</v>
      </c>
      <c r="C2" s="18">
        <v>381.48</v>
      </c>
      <c r="D2" s="18">
        <v>411.88</v>
      </c>
      <c r="E2" s="18">
        <v>379.45</v>
      </c>
      <c r="F2" s="18" t="s">
        <v>450</v>
      </c>
      <c r="G2" s="18">
        <v>8.2199999999999995E-2</v>
      </c>
      <c r="H2" s="19">
        <v>7.8955036400145479E-2</v>
      </c>
      <c r="I2" s="20">
        <v>7.8955036400145477</v>
      </c>
      <c r="J2" s="20">
        <f>(H2-C$227)/C$228</f>
        <v>1.9140355412096945</v>
      </c>
    </row>
    <row r="3" spans="1:10" x14ac:dyDescent="0.35">
      <c r="A3" s="17">
        <v>45663</v>
      </c>
      <c r="B3" s="18">
        <v>411.05</v>
      </c>
      <c r="C3" s="18">
        <v>423.2</v>
      </c>
      <c r="D3" s="18">
        <v>426.43</v>
      </c>
      <c r="E3" s="18">
        <v>401.7</v>
      </c>
      <c r="F3" s="18" t="s">
        <v>449</v>
      </c>
      <c r="G3" s="18">
        <v>1.5E-3</v>
      </c>
      <c r="H3" s="19">
        <v>1.4851066041341059E-3</v>
      </c>
      <c r="I3" s="20">
        <v>0.1485106604134106</v>
      </c>
      <c r="J3" s="20">
        <f t="shared" ref="J3:J66" si="0">(H3-C$227)/C$228</f>
        <v>3.1578072843844736E-2</v>
      </c>
    </row>
    <row r="4" spans="1:10" x14ac:dyDescent="0.35">
      <c r="A4" s="17">
        <v>45664</v>
      </c>
      <c r="B4" s="18">
        <v>394.36</v>
      </c>
      <c r="C4" s="18">
        <v>405.83</v>
      </c>
      <c r="D4" s="18">
        <v>414.33</v>
      </c>
      <c r="E4" s="18">
        <v>390</v>
      </c>
      <c r="F4" s="18" t="s">
        <v>448</v>
      </c>
      <c r="G4" s="18">
        <v>-4.0599999999999997E-2</v>
      </c>
      <c r="H4" s="19">
        <v>-4.1450663891301837E-2</v>
      </c>
      <c r="I4" s="20">
        <v>-4.145066389130184</v>
      </c>
      <c r="J4" s="20">
        <f t="shared" si="0"/>
        <v>-1.0117268848603618</v>
      </c>
    </row>
    <row r="5" spans="1:10" x14ac:dyDescent="0.35">
      <c r="A5" s="17">
        <v>45665</v>
      </c>
      <c r="B5" s="18">
        <v>394.94</v>
      </c>
      <c r="C5" s="18">
        <v>392.95</v>
      </c>
      <c r="D5" s="18">
        <v>402.5</v>
      </c>
      <c r="E5" s="18">
        <v>387.4</v>
      </c>
      <c r="F5" s="18" t="s">
        <v>447</v>
      </c>
      <c r="G5" s="18">
        <v>1.5E-3</v>
      </c>
      <c r="H5" s="19">
        <v>1.4696569223229569E-3</v>
      </c>
      <c r="I5" s="20">
        <v>0.14696569223229569</v>
      </c>
      <c r="J5" s="20">
        <f t="shared" si="0"/>
        <v>3.1202657905611872E-2</v>
      </c>
    </row>
    <row r="6" spans="1:10" x14ac:dyDescent="0.35">
      <c r="A6" s="17">
        <v>45667</v>
      </c>
      <c r="B6" s="18">
        <v>394.74</v>
      </c>
      <c r="C6" s="18">
        <v>391.4</v>
      </c>
      <c r="D6" s="18">
        <v>399.28</v>
      </c>
      <c r="E6" s="18">
        <v>377.29</v>
      </c>
      <c r="F6" s="18" t="s">
        <v>446</v>
      </c>
      <c r="G6" s="18">
        <v>-5.0000000000000001E-4</v>
      </c>
      <c r="H6" s="19">
        <v>-5.0653430320193524E-4</v>
      </c>
      <c r="I6" s="20">
        <v>-5.0653430320193517E-2</v>
      </c>
      <c r="J6" s="20">
        <f t="shared" si="0"/>
        <v>-1.6817211754834475E-2</v>
      </c>
    </row>
    <row r="7" spans="1:10" x14ac:dyDescent="0.35">
      <c r="A7" s="17">
        <v>45670</v>
      </c>
      <c r="B7" s="18">
        <v>403.31</v>
      </c>
      <c r="C7" s="18">
        <v>383.21</v>
      </c>
      <c r="D7" s="18">
        <v>403.79</v>
      </c>
      <c r="E7" s="18">
        <v>380.07</v>
      </c>
      <c r="F7" s="18" t="s">
        <v>445</v>
      </c>
      <c r="G7" s="18">
        <v>2.1700000000000001E-2</v>
      </c>
      <c r="H7" s="19">
        <v>2.1478176683598589E-2</v>
      </c>
      <c r="I7" s="20">
        <v>2.1478176683598589</v>
      </c>
      <c r="J7" s="20">
        <f t="shared" si="0"/>
        <v>0.51739372009885842</v>
      </c>
    </row>
    <row r="8" spans="1:10" x14ac:dyDescent="0.35">
      <c r="A8" s="17">
        <v>45671</v>
      </c>
      <c r="B8" s="18">
        <v>396.36</v>
      </c>
      <c r="C8" s="18">
        <v>414.34</v>
      </c>
      <c r="D8" s="18">
        <v>422.64</v>
      </c>
      <c r="E8" s="18">
        <v>394.54</v>
      </c>
      <c r="F8" s="18" t="s">
        <v>444</v>
      </c>
      <c r="G8" s="18">
        <v>-1.72E-2</v>
      </c>
      <c r="H8" s="19">
        <v>-1.7382607818861549E-2</v>
      </c>
      <c r="I8" s="20">
        <v>-1.7382607818861551</v>
      </c>
      <c r="J8" s="20">
        <f t="shared" si="0"/>
        <v>-0.42689233006067551</v>
      </c>
    </row>
    <row r="9" spans="1:10" x14ac:dyDescent="0.35">
      <c r="A9" s="17">
        <v>45672</v>
      </c>
      <c r="B9" s="18">
        <v>428.22</v>
      </c>
      <c r="C9" s="18">
        <v>409.9</v>
      </c>
      <c r="D9" s="18">
        <v>429.8</v>
      </c>
      <c r="E9" s="18">
        <v>405.66</v>
      </c>
      <c r="F9" s="18" t="s">
        <v>443</v>
      </c>
      <c r="G9" s="18">
        <v>8.0399999999999999E-2</v>
      </c>
      <c r="H9" s="19">
        <v>7.731419302033242E-2</v>
      </c>
      <c r="I9" s="20">
        <v>7.7314193020332418</v>
      </c>
      <c r="J9" s="20">
        <f t="shared" si="0"/>
        <v>1.8741643565722357</v>
      </c>
    </row>
    <row r="10" spans="1:10" x14ac:dyDescent="0.35">
      <c r="A10" s="17">
        <v>45673</v>
      </c>
      <c r="B10" s="18">
        <v>413.82</v>
      </c>
      <c r="C10" s="18">
        <v>423.49</v>
      </c>
      <c r="D10" s="18">
        <v>424</v>
      </c>
      <c r="E10" s="18">
        <v>409.13</v>
      </c>
      <c r="F10" s="18" t="s">
        <v>442</v>
      </c>
      <c r="G10" s="18">
        <v>-3.3599999999999998E-2</v>
      </c>
      <c r="H10" s="19">
        <v>-3.4205985539776232E-2</v>
      </c>
      <c r="I10" s="20">
        <v>-3.4205985539776229</v>
      </c>
      <c r="J10" s="20">
        <f t="shared" si="0"/>
        <v>-0.83568698260863772</v>
      </c>
    </row>
    <row r="11" spans="1:10" x14ac:dyDescent="0.35">
      <c r="A11" s="17">
        <v>45674</v>
      </c>
      <c r="B11" s="18">
        <v>426.5</v>
      </c>
      <c r="C11" s="18">
        <v>421.5</v>
      </c>
      <c r="D11" s="18">
        <v>439.74</v>
      </c>
      <c r="E11" s="18">
        <v>419.75</v>
      </c>
      <c r="F11" s="18" t="s">
        <v>441</v>
      </c>
      <c r="G11" s="18">
        <v>3.0599999999999999E-2</v>
      </c>
      <c r="H11" s="19">
        <v>3.018127026047902E-2</v>
      </c>
      <c r="I11" s="20">
        <v>3.0181270260479018</v>
      </c>
      <c r="J11" s="20">
        <f t="shared" si="0"/>
        <v>0.72887194842337832</v>
      </c>
    </row>
    <row r="12" spans="1:10" x14ac:dyDescent="0.35">
      <c r="A12" s="17">
        <v>45678</v>
      </c>
      <c r="B12" s="18">
        <v>424.07</v>
      </c>
      <c r="C12" s="18">
        <v>432.64</v>
      </c>
      <c r="D12" s="18">
        <v>433.2</v>
      </c>
      <c r="E12" s="18">
        <v>406.31</v>
      </c>
      <c r="F12" s="18" t="s">
        <v>440</v>
      </c>
      <c r="G12" s="18">
        <v>-5.7000000000000002E-3</v>
      </c>
      <c r="H12" s="19">
        <v>-5.7138309867241317E-3</v>
      </c>
      <c r="I12" s="20">
        <v>-0.57138309867241321</v>
      </c>
      <c r="J12" s="20">
        <f t="shared" si="0"/>
        <v>-0.14335036542754859</v>
      </c>
    </row>
    <row r="13" spans="1:10" x14ac:dyDescent="0.35">
      <c r="A13" s="17">
        <v>45679</v>
      </c>
      <c r="B13" s="18">
        <v>415.11</v>
      </c>
      <c r="C13" s="18">
        <v>416.81</v>
      </c>
      <c r="D13" s="18">
        <v>428</v>
      </c>
      <c r="E13" s="18">
        <v>414.59</v>
      </c>
      <c r="F13" s="18" t="s">
        <v>439</v>
      </c>
      <c r="G13" s="18">
        <v>-2.1100000000000001E-2</v>
      </c>
      <c r="H13" s="19">
        <v>-2.1354990595606971E-2</v>
      </c>
      <c r="I13" s="20">
        <v>-2.1354990595606971</v>
      </c>
      <c r="J13" s="20">
        <f t="shared" si="0"/>
        <v>-0.52341806133450575</v>
      </c>
    </row>
    <row r="14" spans="1:10" x14ac:dyDescent="0.35">
      <c r="A14" s="17">
        <v>45680</v>
      </c>
      <c r="B14" s="18">
        <v>412.38</v>
      </c>
      <c r="C14" s="18">
        <v>416.06</v>
      </c>
      <c r="D14" s="18">
        <v>420.73</v>
      </c>
      <c r="E14" s="18">
        <v>408.95</v>
      </c>
      <c r="F14" s="18" t="s">
        <v>438</v>
      </c>
      <c r="G14" s="18">
        <v>-6.6E-3</v>
      </c>
      <c r="H14" s="19">
        <v>-6.5982909878338726E-3</v>
      </c>
      <c r="I14" s="20">
        <v>-0.65982909878338736</v>
      </c>
      <c r="J14" s="20">
        <f t="shared" si="0"/>
        <v>-0.16484203760208077</v>
      </c>
    </row>
    <row r="15" spans="1:10" x14ac:dyDescent="0.35">
      <c r="A15" s="17">
        <v>45681</v>
      </c>
      <c r="B15" s="18">
        <v>406.58</v>
      </c>
      <c r="C15" s="18">
        <v>414.45</v>
      </c>
      <c r="D15" s="18">
        <v>418.88</v>
      </c>
      <c r="E15" s="18">
        <v>405.78</v>
      </c>
      <c r="F15" s="18" t="s">
        <v>437</v>
      </c>
      <c r="G15" s="18">
        <v>-1.41E-2</v>
      </c>
      <c r="H15" s="19">
        <v>-1.41645427686508E-2</v>
      </c>
      <c r="I15" s="20">
        <v>-1.4164542768650801</v>
      </c>
      <c r="J15" s="20">
        <f t="shared" si="0"/>
        <v>-0.34869591755058904</v>
      </c>
    </row>
    <row r="16" spans="1:10" x14ac:dyDescent="0.35">
      <c r="A16" s="17">
        <v>45684</v>
      </c>
      <c r="B16" s="18">
        <v>397.15</v>
      </c>
      <c r="C16" s="18">
        <v>394.8</v>
      </c>
      <c r="D16" s="18">
        <v>406.69</v>
      </c>
      <c r="E16" s="18">
        <v>389</v>
      </c>
      <c r="F16" s="18" t="s">
        <v>436</v>
      </c>
      <c r="G16" s="18">
        <v>-2.3199999999999998E-2</v>
      </c>
      <c r="H16" s="19">
        <v>-2.3466668513776968E-2</v>
      </c>
      <c r="I16" s="20">
        <v>-2.3466668513776971</v>
      </c>
      <c r="J16" s="20">
        <f t="shared" si="0"/>
        <v>-0.57473014949967449</v>
      </c>
    </row>
    <row r="17" spans="1:10" x14ac:dyDescent="0.35">
      <c r="A17" s="17">
        <v>45685</v>
      </c>
      <c r="B17" s="18">
        <v>398.09</v>
      </c>
      <c r="C17" s="18">
        <v>396.91</v>
      </c>
      <c r="D17" s="18">
        <v>400.59</v>
      </c>
      <c r="E17" s="18">
        <v>386.5</v>
      </c>
      <c r="F17" s="18" t="s">
        <v>435</v>
      </c>
      <c r="G17" s="18">
        <v>2.3999999999999998E-3</v>
      </c>
      <c r="H17" s="19">
        <v>2.3640672948804699E-3</v>
      </c>
      <c r="I17" s="20">
        <v>0.236406729488047</v>
      </c>
      <c r="J17" s="20">
        <f t="shared" si="0"/>
        <v>5.293611616532827E-2</v>
      </c>
    </row>
    <row r="18" spans="1:10" x14ac:dyDescent="0.35">
      <c r="A18" s="17">
        <v>45686</v>
      </c>
      <c r="B18" s="18">
        <v>389.1</v>
      </c>
      <c r="C18" s="18">
        <v>395.21</v>
      </c>
      <c r="D18" s="18">
        <v>398.59</v>
      </c>
      <c r="E18" s="18">
        <v>384.48</v>
      </c>
      <c r="F18" s="18" t="s">
        <v>434</v>
      </c>
      <c r="G18" s="18">
        <v>-2.2599999999999999E-2</v>
      </c>
      <c r="H18" s="19">
        <v>-2.2841730383513559E-2</v>
      </c>
      <c r="I18" s="20">
        <v>-2.284173038351355</v>
      </c>
      <c r="J18" s="20">
        <f t="shared" si="0"/>
        <v>-0.55954465167259992</v>
      </c>
    </row>
    <row r="19" spans="1:10" x14ac:dyDescent="0.35">
      <c r="A19" s="17">
        <v>45687</v>
      </c>
      <c r="B19" s="18">
        <v>400.28</v>
      </c>
      <c r="C19" s="18">
        <v>410.78</v>
      </c>
      <c r="D19" s="18">
        <v>412.5</v>
      </c>
      <c r="E19" s="18">
        <v>384.41</v>
      </c>
      <c r="F19" s="18" t="s">
        <v>433</v>
      </c>
      <c r="G19" s="18">
        <v>2.87E-2</v>
      </c>
      <c r="H19" s="19">
        <v>2.8327922231747241E-2</v>
      </c>
      <c r="I19" s="20">
        <v>2.832792223174724</v>
      </c>
      <c r="J19" s="20">
        <f t="shared" si="0"/>
        <v>0.68383707040872332</v>
      </c>
    </row>
    <row r="20" spans="1:10" x14ac:dyDescent="0.35">
      <c r="A20" s="17">
        <v>45688</v>
      </c>
      <c r="B20" s="18">
        <v>404.6</v>
      </c>
      <c r="C20" s="18">
        <v>401.53</v>
      </c>
      <c r="D20" s="18">
        <v>419.99</v>
      </c>
      <c r="E20" s="18">
        <v>401.34</v>
      </c>
      <c r="F20" s="18" t="s">
        <v>432</v>
      </c>
      <c r="G20" s="18">
        <v>1.0800000000000001E-2</v>
      </c>
      <c r="H20" s="19">
        <v>1.073462251138994E-2</v>
      </c>
      <c r="I20" s="20">
        <v>1.073462251138994</v>
      </c>
      <c r="J20" s="20">
        <f t="shared" si="0"/>
        <v>0.25633392771850527</v>
      </c>
    </row>
    <row r="21" spans="1:10" x14ac:dyDescent="0.35">
      <c r="A21" s="17">
        <v>45691</v>
      </c>
      <c r="B21" s="18">
        <v>383.68</v>
      </c>
      <c r="C21" s="18">
        <v>386.68</v>
      </c>
      <c r="D21" s="18">
        <v>389.17</v>
      </c>
      <c r="E21" s="18">
        <v>374.36</v>
      </c>
      <c r="F21" s="18" t="s">
        <v>431</v>
      </c>
      <c r="G21" s="18">
        <v>-5.1700000000000003E-2</v>
      </c>
      <c r="H21" s="19">
        <v>-5.3090052894495657E-2</v>
      </c>
      <c r="I21" s="20">
        <v>-5.3090052894495674</v>
      </c>
      <c r="J21" s="20">
        <f t="shared" si="0"/>
        <v>-1.2945547487034197</v>
      </c>
    </row>
    <row r="22" spans="1:10" x14ac:dyDescent="0.35">
      <c r="A22" s="17">
        <v>45692</v>
      </c>
      <c r="B22" s="18">
        <v>392.21</v>
      </c>
      <c r="C22" s="18">
        <v>382.63</v>
      </c>
      <c r="D22" s="18">
        <v>394</v>
      </c>
      <c r="E22" s="18">
        <v>381.4</v>
      </c>
      <c r="F22" s="18" t="s">
        <v>430</v>
      </c>
      <c r="G22" s="18">
        <v>2.2200000000000001E-2</v>
      </c>
      <c r="H22" s="19">
        <v>2.1988538793356979E-2</v>
      </c>
      <c r="I22" s="20">
        <v>2.1988538793356982</v>
      </c>
      <c r="J22" s="20">
        <f t="shared" si="0"/>
        <v>0.52979511206623697</v>
      </c>
    </row>
    <row r="23" spans="1:10" x14ac:dyDescent="0.35">
      <c r="A23" s="17">
        <v>45693</v>
      </c>
      <c r="B23" s="18">
        <v>378.17</v>
      </c>
      <c r="C23" s="18">
        <v>387.51</v>
      </c>
      <c r="D23" s="18">
        <v>388.39</v>
      </c>
      <c r="E23" s="18">
        <v>375.53</v>
      </c>
      <c r="F23" s="18" t="s">
        <v>429</v>
      </c>
      <c r="G23" s="18">
        <v>-3.5799999999999998E-2</v>
      </c>
      <c r="H23" s="19">
        <v>-3.6453580663859418E-2</v>
      </c>
      <c r="I23" s="20">
        <v>-3.645358066385942</v>
      </c>
      <c r="J23" s="20">
        <f t="shared" si="0"/>
        <v>-0.89030175040736759</v>
      </c>
    </row>
    <row r="24" spans="1:10" x14ac:dyDescent="0.35">
      <c r="A24" s="17">
        <v>45694</v>
      </c>
      <c r="B24" s="18">
        <v>374.32</v>
      </c>
      <c r="C24" s="18">
        <v>373.03</v>
      </c>
      <c r="D24" s="18">
        <v>375.4</v>
      </c>
      <c r="E24" s="18">
        <v>363.18</v>
      </c>
      <c r="F24" s="18" t="s">
        <v>428</v>
      </c>
      <c r="G24" s="18">
        <v>-1.0200000000000001E-2</v>
      </c>
      <c r="H24" s="19">
        <v>-1.023278341068618E-2</v>
      </c>
      <c r="I24" s="20">
        <v>-1.0232783410686179</v>
      </c>
      <c r="J24" s="20">
        <f t="shared" si="0"/>
        <v>-0.2531573029331935</v>
      </c>
    </row>
    <row r="25" spans="1:10" x14ac:dyDescent="0.35">
      <c r="A25" s="17">
        <v>45695</v>
      </c>
      <c r="B25" s="18">
        <v>361.62</v>
      </c>
      <c r="C25" s="18">
        <v>370.19</v>
      </c>
      <c r="D25" s="18">
        <v>380.55</v>
      </c>
      <c r="E25" s="18">
        <v>360.34</v>
      </c>
      <c r="F25" s="18" t="s">
        <v>427</v>
      </c>
      <c r="G25" s="18">
        <v>-3.39E-2</v>
      </c>
      <c r="H25" s="19">
        <v>-3.4517109834953111E-2</v>
      </c>
      <c r="I25" s="20">
        <v>-3.4517109834953108</v>
      </c>
      <c r="J25" s="20">
        <f t="shared" si="0"/>
        <v>-0.84324705468548022</v>
      </c>
    </row>
    <row r="26" spans="1:10" x14ac:dyDescent="0.35">
      <c r="A26" s="17">
        <v>45698</v>
      </c>
      <c r="B26" s="18">
        <v>350.73</v>
      </c>
      <c r="C26" s="18">
        <v>356.21</v>
      </c>
      <c r="D26" s="18">
        <v>362.7</v>
      </c>
      <c r="E26" s="18">
        <v>350.51</v>
      </c>
      <c r="F26" s="18" t="s">
        <v>426</v>
      </c>
      <c r="G26" s="18">
        <v>-3.0099999999999998E-2</v>
      </c>
      <c r="H26" s="19">
        <v>-3.0577240036170499E-2</v>
      </c>
      <c r="I26" s="20">
        <v>-3.0577240036170501</v>
      </c>
      <c r="J26" s="20">
        <f t="shared" si="0"/>
        <v>-0.74751136282882857</v>
      </c>
    </row>
    <row r="27" spans="1:10" x14ac:dyDescent="0.35">
      <c r="A27" s="17">
        <v>45699</v>
      </c>
      <c r="B27" s="18">
        <v>328.5</v>
      </c>
      <c r="C27" s="18">
        <v>345.8</v>
      </c>
      <c r="D27" s="18">
        <v>349.37</v>
      </c>
      <c r="E27" s="18">
        <v>325.10000000000002</v>
      </c>
      <c r="F27" s="18" t="s">
        <v>425</v>
      </c>
      <c r="G27" s="18">
        <v>-6.3399999999999998E-2</v>
      </c>
      <c r="H27" s="19">
        <v>-6.5479858762172063E-2</v>
      </c>
      <c r="I27" s="20">
        <v>-6.5479858762172061</v>
      </c>
      <c r="J27" s="20">
        <f t="shared" si="0"/>
        <v>-1.5956171434754787</v>
      </c>
    </row>
    <row r="28" spans="1:10" x14ac:dyDescent="0.35">
      <c r="A28" s="17">
        <v>45700</v>
      </c>
      <c r="B28" s="18">
        <v>336.51</v>
      </c>
      <c r="C28" s="18">
        <v>329.94</v>
      </c>
      <c r="D28" s="18">
        <v>346.4</v>
      </c>
      <c r="E28" s="18">
        <v>329.12</v>
      </c>
      <c r="F28" s="18" t="s">
        <v>183</v>
      </c>
      <c r="G28" s="18">
        <v>2.4400000000000002E-2</v>
      </c>
      <c r="H28" s="19">
        <v>2.4091028400576399E-2</v>
      </c>
      <c r="I28" s="20">
        <v>2.4091028400576402</v>
      </c>
      <c r="J28" s="20">
        <f t="shared" si="0"/>
        <v>0.5808839316081329</v>
      </c>
    </row>
    <row r="29" spans="1:10" x14ac:dyDescent="0.35">
      <c r="A29" s="17">
        <v>45701</v>
      </c>
      <c r="B29" s="18">
        <v>355.94</v>
      </c>
      <c r="C29" s="18">
        <v>345</v>
      </c>
      <c r="D29" s="18">
        <v>358.69</v>
      </c>
      <c r="E29" s="18">
        <v>342.85</v>
      </c>
      <c r="F29" s="18" t="s">
        <v>424</v>
      </c>
      <c r="G29" s="18">
        <v>5.7700000000000001E-2</v>
      </c>
      <c r="H29" s="19">
        <v>5.613431099659786E-2</v>
      </c>
      <c r="I29" s="20">
        <v>5.6134310996597856</v>
      </c>
      <c r="J29" s="20">
        <f t="shared" si="0"/>
        <v>1.3595101262189833</v>
      </c>
    </row>
    <row r="30" spans="1:10" x14ac:dyDescent="0.35">
      <c r="A30" s="17">
        <v>45702</v>
      </c>
      <c r="B30" s="18">
        <v>355.84</v>
      </c>
      <c r="C30" s="18">
        <v>360.62</v>
      </c>
      <c r="D30" s="18">
        <v>362</v>
      </c>
      <c r="E30" s="18">
        <v>347.5</v>
      </c>
      <c r="F30" s="18" t="s">
        <v>423</v>
      </c>
      <c r="G30" s="18">
        <v>-2.9999999999999997E-4</v>
      </c>
      <c r="H30" s="19">
        <v>-2.8098569967676019E-4</v>
      </c>
      <c r="I30" s="20">
        <v>-2.809856996767603E-2</v>
      </c>
      <c r="J30" s="20">
        <f t="shared" si="0"/>
        <v>-1.1336560690564192E-2</v>
      </c>
    </row>
    <row r="31" spans="1:10" x14ac:dyDescent="0.35">
      <c r="A31" s="17">
        <v>45706</v>
      </c>
      <c r="B31" s="18">
        <v>354.11</v>
      </c>
      <c r="C31" s="18">
        <v>355.01</v>
      </c>
      <c r="D31" s="18">
        <v>359.1</v>
      </c>
      <c r="E31" s="18">
        <v>350.02</v>
      </c>
      <c r="F31" s="18" t="s">
        <v>422</v>
      </c>
      <c r="G31" s="18">
        <v>-4.8999999999999998E-3</v>
      </c>
      <c r="H31" s="19">
        <v>-4.8735922930660761E-3</v>
      </c>
      <c r="I31" s="20">
        <v>-0.48735922930660758</v>
      </c>
      <c r="J31" s="20">
        <f t="shared" si="0"/>
        <v>-0.12293323573282142</v>
      </c>
    </row>
    <row r="32" spans="1:10" x14ac:dyDescent="0.35">
      <c r="A32" s="17">
        <v>45707</v>
      </c>
      <c r="B32" s="18">
        <v>360.56</v>
      </c>
      <c r="C32" s="18">
        <v>354</v>
      </c>
      <c r="D32" s="18">
        <v>367.34</v>
      </c>
      <c r="E32" s="18">
        <v>353.67</v>
      </c>
      <c r="F32" s="18" t="s">
        <v>421</v>
      </c>
      <c r="G32" s="18">
        <v>1.8200000000000001E-2</v>
      </c>
      <c r="H32" s="19">
        <v>1.8050779053296051E-2</v>
      </c>
      <c r="I32" s="20">
        <v>1.805077905329606</v>
      </c>
      <c r="J32" s="20">
        <f t="shared" si="0"/>
        <v>0.43411069295256799</v>
      </c>
    </row>
    <row r="33" spans="1:10" x14ac:dyDescent="0.35">
      <c r="A33" s="17">
        <v>45708</v>
      </c>
      <c r="B33" s="18">
        <v>354.4</v>
      </c>
      <c r="C33" s="18">
        <v>361.51</v>
      </c>
      <c r="D33" s="18">
        <v>362.3</v>
      </c>
      <c r="E33" s="18">
        <v>348</v>
      </c>
      <c r="F33" s="18" t="s">
        <v>420</v>
      </c>
      <c r="G33" s="18">
        <v>-1.7100000000000001E-2</v>
      </c>
      <c r="H33" s="19">
        <v>-1.7232159651467051E-2</v>
      </c>
      <c r="I33" s="20">
        <v>-1.7232159651467049</v>
      </c>
      <c r="J33" s="20">
        <f t="shared" si="0"/>
        <v>-0.4232365596597023</v>
      </c>
    </row>
    <row r="34" spans="1:10" x14ac:dyDescent="0.35">
      <c r="A34" s="17">
        <v>45709</v>
      </c>
      <c r="B34" s="18">
        <v>337.8</v>
      </c>
      <c r="C34" s="18">
        <v>353.44</v>
      </c>
      <c r="D34" s="18">
        <v>354.98</v>
      </c>
      <c r="E34" s="18">
        <v>334.42</v>
      </c>
      <c r="F34" s="18" t="s">
        <v>419</v>
      </c>
      <c r="G34" s="18">
        <v>-4.6800000000000001E-2</v>
      </c>
      <c r="H34" s="19">
        <v>-4.7972214357226102E-2</v>
      </c>
      <c r="I34" s="20">
        <v>-4.7972214357226104</v>
      </c>
      <c r="J34" s="20">
        <f t="shared" si="0"/>
        <v>-1.1701953565916476</v>
      </c>
    </row>
    <row r="35" spans="1:10" x14ac:dyDescent="0.35">
      <c r="A35" s="17">
        <v>45712</v>
      </c>
      <c r="B35" s="18">
        <v>330.53</v>
      </c>
      <c r="C35" s="18">
        <v>338.14</v>
      </c>
      <c r="D35" s="18">
        <v>342.4</v>
      </c>
      <c r="E35" s="18">
        <v>324.7</v>
      </c>
      <c r="F35" s="18" t="s">
        <v>418</v>
      </c>
      <c r="G35" s="18">
        <v>-2.1499999999999998E-2</v>
      </c>
      <c r="H35" s="19">
        <v>-2.175657764320232E-2</v>
      </c>
      <c r="I35" s="20">
        <v>-2.1756577643202322</v>
      </c>
      <c r="J35" s="20">
        <f t="shared" si="0"/>
        <v>-0.53317630610038369</v>
      </c>
    </row>
    <row r="36" spans="1:10" x14ac:dyDescent="0.35">
      <c r="A36" s="17">
        <v>45713</v>
      </c>
      <c r="B36" s="18">
        <v>302.8</v>
      </c>
      <c r="C36" s="18">
        <v>327.02</v>
      </c>
      <c r="D36" s="18">
        <v>328.89</v>
      </c>
      <c r="E36" s="18">
        <v>297.25</v>
      </c>
      <c r="F36" s="18" t="s">
        <v>417</v>
      </c>
      <c r="G36" s="18">
        <v>-8.3900000000000002E-2</v>
      </c>
      <c r="H36" s="19">
        <v>-8.7624905167203629E-2</v>
      </c>
      <c r="I36" s="20">
        <v>-8.7624905167203622</v>
      </c>
      <c r="J36" s="20">
        <f t="shared" si="0"/>
        <v>-2.13372409803485</v>
      </c>
    </row>
    <row r="37" spans="1:10" x14ac:dyDescent="0.35">
      <c r="A37" s="17">
        <v>45714</v>
      </c>
      <c r="B37" s="18">
        <v>290.8</v>
      </c>
      <c r="C37" s="18">
        <v>303.70999999999998</v>
      </c>
      <c r="D37" s="18">
        <v>309</v>
      </c>
      <c r="E37" s="18">
        <v>288.04000000000002</v>
      </c>
      <c r="F37" s="18" t="s">
        <v>416</v>
      </c>
      <c r="G37" s="18">
        <v>-3.9600000000000003E-2</v>
      </c>
      <c r="H37" s="19">
        <v>-4.0436775903929467E-2</v>
      </c>
      <c r="I37" s="20">
        <v>-4.0436775903929467</v>
      </c>
      <c r="J37" s="20">
        <f t="shared" si="0"/>
        <v>-0.98709021591098833</v>
      </c>
    </row>
    <row r="38" spans="1:10" x14ac:dyDescent="0.35">
      <c r="A38" s="17">
        <v>45715</v>
      </c>
      <c r="B38" s="18">
        <v>281.95</v>
      </c>
      <c r="C38" s="18">
        <v>291.16000000000003</v>
      </c>
      <c r="D38" s="18">
        <v>297.23</v>
      </c>
      <c r="E38" s="18">
        <v>280.88</v>
      </c>
      <c r="F38" s="18" t="s">
        <v>415</v>
      </c>
      <c r="G38" s="18">
        <v>-3.04E-2</v>
      </c>
      <c r="H38" s="19">
        <v>-3.0905995406173281E-2</v>
      </c>
      <c r="I38" s="20">
        <v>-3.0905995406173279</v>
      </c>
      <c r="J38" s="20">
        <f t="shared" si="0"/>
        <v>-0.75549985595327929</v>
      </c>
    </row>
    <row r="39" spans="1:10" x14ac:dyDescent="0.35">
      <c r="A39" s="17">
        <v>45716</v>
      </c>
      <c r="B39" s="18">
        <v>292.98</v>
      </c>
      <c r="C39" s="18">
        <v>279.5</v>
      </c>
      <c r="D39" s="18">
        <v>293.88</v>
      </c>
      <c r="E39" s="18">
        <v>273.60000000000002</v>
      </c>
      <c r="F39" s="18" t="s">
        <v>414</v>
      </c>
      <c r="G39" s="18">
        <v>3.9100000000000003E-2</v>
      </c>
      <c r="H39" s="19">
        <v>3.8374597048432782E-2</v>
      </c>
      <c r="I39" s="20">
        <v>3.837459704843277</v>
      </c>
      <c r="J39" s="20">
        <f t="shared" si="0"/>
        <v>0.92796325060162865</v>
      </c>
    </row>
    <row r="40" spans="1:10" x14ac:dyDescent="0.35">
      <c r="A40" s="17">
        <v>45719</v>
      </c>
      <c r="B40" s="18">
        <v>284.64999999999998</v>
      </c>
      <c r="C40" s="18">
        <v>300.33999999999997</v>
      </c>
      <c r="D40" s="18">
        <v>303.94</v>
      </c>
      <c r="E40" s="18">
        <v>277.3</v>
      </c>
      <c r="F40" s="18" t="s">
        <v>413</v>
      </c>
      <c r="G40" s="18">
        <v>-2.8400000000000002E-2</v>
      </c>
      <c r="H40" s="19">
        <v>-2.8843991904533111E-2</v>
      </c>
      <c r="I40" s="20">
        <v>-2.8843991904533111</v>
      </c>
      <c r="J40" s="20">
        <f t="shared" si="0"/>
        <v>-0.70539481646660451</v>
      </c>
    </row>
    <row r="41" spans="1:10" x14ac:dyDescent="0.35">
      <c r="A41" s="17">
        <v>45720</v>
      </c>
      <c r="B41" s="18">
        <v>272.04000000000002</v>
      </c>
      <c r="C41" s="18">
        <v>270.93</v>
      </c>
      <c r="D41" s="18">
        <v>284.35000000000002</v>
      </c>
      <c r="E41" s="18">
        <v>261.83999999999997</v>
      </c>
      <c r="F41" s="18" t="s">
        <v>257</v>
      </c>
      <c r="G41" s="18">
        <v>-4.4299999999999999E-2</v>
      </c>
      <c r="H41" s="19">
        <v>-4.5311241089652829E-2</v>
      </c>
      <c r="I41" s="20">
        <v>-4.5311241089652832</v>
      </c>
      <c r="J41" s="20">
        <f t="shared" si="0"/>
        <v>-1.1055358298068034</v>
      </c>
    </row>
    <row r="42" spans="1:10" x14ac:dyDescent="0.35">
      <c r="A42" s="17">
        <v>45721</v>
      </c>
      <c r="B42" s="18">
        <v>279.10000000000002</v>
      </c>
      <c r="C42" s="18">
        <v>272.92</v>
      </c>
      <c r="D42" s="18">
        <v>279.55</v>
      </c>
      <c r="E42" s="18">
        <v>267.70999999999998</v>
      </c>
      <c r="F42" s="18" t="s">
        <v>412</v>
      </c>
      <c r="G42" s="18">
        <v>2.5999999999999999E-2</v>
      </c>
      <c r="H42" s="19">
        <v>2.5621026234838511E-2</v>
      </c>
      <c r="I42" s="20">
        <v>2.5621026234838511</v>
      </c>
      <c r="J42" s="20">
        <f t="shared" si="0"/>
        <v>0.6180616579501359</v>
      </c>
    </row>
    <row r="43" spans="1:10" x14ac:dyDescent="0.35">
      <c r="A43" s="17">
        <v>45722</v>
      </c>
      <c r="B43" s="18">
        <v>263.45</v>
      </c>
      <c r="C43" s="18">
        <v>272.06</v>
      </c>
      <c r="D43" s="18">
        <v>272.64999999999998</v>
      </c>
      <c r="E43" s="18">
        <v>260.02</v>
      </c>
      <c r="F43" s="18" t="s">
        <v>411</v>
      </c>
      <c r="G43" s="18">
        <v>-5.6099999999999997E-2</v>
      </c>
      <c r="H43" s="19">
        <v>-5.7706543886981869E-2</v>
      </c>
      <c r="I43" s="20">
        <v>-5.7706543886981869</v>
      </c>
      <c r="J43" s="20">
        <f t="shared" si="0"/>
        <v>-1.4067317955825402</v>
      </c>
    </row>
    <row r="44" spans="1:10" x14ac:dyDescent="0.35">
      <c r="A44" s="17">
        <v>45723</v>
      </c>
      <c r="B44" s="18">
        <v>262.67</v>
      </c>
      <c r="C44" s="18">
        <v>259.32</v>
      </c>
      <c r="D44" s="18">
        <v>266.25</v>
      </c>
      <c r="E44" s="18">
        <v>250.73</v>
      </c>
      <c r="F44" s="18" t="s">
        <v>410</v>
      </c>
      <c r="G44" s="18">
        <v>-3.0000000000000001E-3</v>
      </c>
      <c r="H44" s="19">
        <v>-2.9651051907172259E-3</v>
      </c>
      <c r="I44" s="20">
        <v>-0.29651051907172271</v>
      </c>
      <c r="J44" s="20">
        <f t="shared" si="0"/>
        <v>-7.6558522233578452E-2</v>
      </c>
    </row>
    <row r="45" spans="1:10" x14ac:dyDescent="0.35">
      <c r="A45" s="17">
        <v>45726</v>
      </c>
      <c r="B45" s="18">
        <v>222.15</v>
      </c>
      <c r="C45" s="18">
        <v>252.54</v>
      </c>
      <c r="D45" s="18">
        <v>253.37</v>
      </c>
      <c r="E45" s="18">
        <v>220</v>
      </c>
      <c r="F45" s="18" t="s">
        <v>409</v>
      </c>
      <c r="G45" s="18">
        <v>-0.15429999999999999</v>
      </c>
      <c r="H45" s="19">
        <v>-0.16754566208266</v>
      </c>
      <c r="I45" s="20">
        <v>-16.754566208265999</v>
      </c>
      <c r="J45" s="20">
        <f t="shared" si="0"/>
        <v>-4.0757347094953298</v>
      </c>
    </row>
    <row r="46" spans="1:10" x14ac:dyDescent="0.35">
      <c r="A46" s="17">
        <v>45727</v>
      </c>
      <c r="B46" s="18">
        <v>230.58</v>
      </c>
      <c r="C46" s="18">
        <v>225.3</v>
      </c>
      <c r="D46" s="18">
        <v>237.06</v>
      </c>
      <c r="E46" s="18">
        <v>217.02</v>
      </c>
      <c r="F46" s="18" t="s">
        <v>408</v>
      </c>
      <c r="G46" s="18">
        <v>3.7900000000000003E-2</v>
      </c>
      <c r="H46" s="19">
        <v>3.7245044422890027E-2</v>
      </c>
      <c r="I46" s="20">
        <v>3.7245044422890028</v>
      </c>
      <c r="J46" s="20">
        <f t="shared" si="0"/>
        <v>0.90051602325207336</v>
      </c>
    </row>
    <row r="47" spans="1:10" x14ac:dyDescent="0.35">
      <c r="A47" s="17">
        <v>45728</v>
      </c>
      <c r="B47" s="18">
        <v>248.09</v>
      </c>
      <c r="C47" s="18">
        <v>247.22</v>
      </c>
      <c r="D47" s="18">
        <v>251.84</v>
      </c>
      <c r="E47" s="18">
        <v>241.1</v>
      </c>
      <c r="F47" s="18" t="s">
        <v>407</v>
      </c>
      <c r="G47" s="18">
        <v>7.5899999999999995E-2</v>
      </c>
      <c r="H47" s="19">
        <v>7.3193709752532393E-2</v>
      </c>
      <c r="I47" s="20">
        <v>7.3193709752532392</v>
      </c>
      <c r="J47" s="20">
        <f t="shared" si="0"/>
        <v>1.7740399015589043</v>
      </c>
    </row>
    <row r="48" spans="1:10" x14ac:dyDescent="0.35">
      <c r="A48" s="17">
        <v>45729</v>
      </c>
      <c r="B48" s="18">
        <v>240.68</v>
      </c>
      <c r="C48" s="18">
        <v>248.13</v>
      </c>
      <c r="D48" s="18">
        <v>248.29</v>
      </c>
      <c r="E48" s="18">
        <v>232.6</v>
      </c>
      <c r="F48" s="18" t="s">
        <v>406</v>
      </c>
      <c r="G48" s="18">
        <v>-2.9899999999999999E-2</v>
      </c>
      <c r="H48" s="19">
        <v>-3.0323333205188981E-2</v>
      </c>
      <c r="I48" s="20">
        <v>-3.032333320518898</v>
      </c>
      <c r="J48" s="20">
        <f t="shared" si="0"/>
        <v>-0.74134162946894533</v>
      </c>
    </row>
    <row r="49" spans="1:10" x14ac:dyDescent="0.35">
      <c r="A49" s="17">
        <v>45730</v>
      </c>
      <c r="B49" s="18">
        <v>249.98</v>
      </c>
      <c r="C49" s="18">
        <v>247.31</v>
      </c>
      <c r="D49" s="18">
        <v>251.58</v>
      </c>
      <c r="E49" s="18">
        <v>240.73</v>
      </c>
      <c r="F49" s="18" t="s">
        <v>405</v>
      </c>
      <c r="G49" s="18">
        <v>3.8600000000000002E-2</v>
      </c>
      <c r="H49" s="19">
        <v>3.7912664309924612E-2</v>
      </c>
      <c r="I49" s="20">
        <v>3.7912664309924611</v>
      </c>
      <c r="J49" s="20">
        <f t="shared" si="0"/>
        <v>0.91673865370607088</v>
      </c>
    </row>
    <row r="50" spans="1:10" x14ac:dyDescent="0.35">
      <c r="A50" s="17">
        <v>45733</v>
      </c>
      <c r="B50" s="18">
        <v>238.01</v>
      </c>
      <c r="C50" s="18">
        <v>245.05</v>
      </c>
      <c r="D50" s="18">
        <v>245.4</v>
      </c>
      <c r="E50" s="18">
        <v>232.8</v>
      </c>
      <c r="F50" s="18" t="s">
        <v>404</v>
      </c>
      <c r="G50" s="18">
        <v>-4.7899999999999998E-2</v>
      </c>
      <c r="H50" s="19">
        <v>-4.9068225066559668E-2</v>
      </c>
      <c r="I50" s="20">
        <v>-4.9068225066559679</v>
      </c>
      <c r="J50" s="20">
        <f t="shared" si="0"/>
        <v>-1.1968275421457921</v>
      </c>
    </row>
    <row r="51" spans="1:10" x14ac:dyDescent="0.35">
      <c r="A51" s="17">
        <v>45734</v>
      </c>
      <c r="B51" s="18">
        <v>225.31</v>
      </c>
      <c r="C51" s="18">
        <v>228.15</v>
      </c>
      <c r="D51" s="18">
        <v>230.1</v>
      </c>
      <c r="E51" s="18">
        <v>222.28</v>
      </c>
      <c r="F51" s="18" t="s">
        <v>403</v>
      </c>
      <c r="G51" s="18">
        <v>-5.3400000000000003E-2</v>
      </c>
      <c r="H51" s="19">
        <v>-5.4835457878221687E-2</v>
      </c>
      <c r="I51" s="20">
        <v>-5.4835457878221687</v>
      </c>
      <c r="J51" s="20">
        <f t="shared" si="0"/>
        <v>-1.3369666968694964</v>
      </c>
    </row>
    <row r="52" spans="1:10" x14ac:dyDescent="0.35">
      <c r="A52" s="17">
        <v>45735</v>
      </c>
      <c r="B52" s="18">
        <v>235.86</v>
      </c>
      <c r="C52" s="18">
        <v>231.61</v>
      </c>
      <c r="D52" s="18">
        <v>241.41</v>
      </c>
      <c r="E52" s="18">
        <v>229.2</v>
      </c>
      <c r="F52" s="18" t="s">
        <v>402</v>
      </c>
      <c r="G52" s="18">
        <v>4.6800000000000001E-2</v>
      </c>
      <c r="H52" s="19">
        <v>4.5761176944529587E-2</v>
      </c>
      <c r="I52" s="20">
        <v>4.5761176944529591</v>
      </c>
      <c r="J52" s="20">
        <f t="shared" si="0"/>
        <v>1.1074512471404403</v>
      </c>
    </row>
    <row r="53" spans="1:10" x14ac:dyDescent="0.35">
      <c r="A53" s="17">
        <v>45736</v>
      </c>
      <c r="B53" s="18">
        <v>236.26</v>
      </c>
      <c r="C53" s="18">
        <v>233.35</v>
      </c>
      <c r="D53" s="18">
        <v>238</v>
      </c>
      <c r="E53" s="18">
        <v>230.05</v>
      </c>
      <c r="F53" s="18" t="s">
        <v>401</v>
      </c>
      <c r="G53" s="18">
        <v>1.6999999999999999E-3</v>
      </c>
      <c r="H53" s="19">
        <v>1.6944848585497801E-3</v>
      </c>
      <c r="I53" s="20">
        <v>0.16944848585497799</v>
      </c>
      <c r="J53" s="20">
        <f t="shared" si="0"/>
        <v>3.6665797329668182E-2</v>
      </c>
    </row>
    <row r="54" spans="1:10" x14ac:dyDescent="0.35">
      <c r="A54" s="17">
        <v>45737</v>
      </c>
      <c r="B54" s="18">
        <v>248.71</v>
      </c>
      <c r="C54" s="18">
        <v>234.99</v>
      </c>
      <c r="D54" s="18">
        <v>249.52</v>
      </c>
      <c r="E54" s="18">
        <v>234.55</v>
      </c>
      <c r="F54" s="18" t="s">
        <v>400</v>
      </c>
      <c r="G54" s="18">
        <v>5.2699999999999997E-2</v>
      </c>
      <c r="H54" s="19">
        <v>5.135466556787515E-2</v>
      </c>
      <c r="I54" s="20">
        <v>5.1354665567875148</v>
      </c>
      <c r="J54" s="20">
        <f t="shared" si="0"/>
        <v>1.2433685567463979</v>
      </c>
    </row>
    <row r="55" spans="1:10" x14ac:dyDescent="0.35">
      <c r="A55" s="17">
        <v>45740</v>
      </c>
      <c r="B55" s="18">
        <v>278.39</v>
      </c>
      <c r="C55" s="18">
        <v>258.08</v>
      </c>
      <c r="D55" s="18">
        <v>278.64</v>
      </c>
      <c r="E55" s="18">
        <v>256.33</v>
      </c>
      <c r="F55" s="18" t="s">
        <v>162</v>
      </c>
      <c r="G55" s="18">
        <v>0.1193</v>
      </c>
      <c r="H55" s="19">
        <v>0.11273544918666351</v>
      </c>
      <c r="I55" s="20">
        <v>11.273544918666349</v>
      </c>
      <c r="J55" s="20">
        <f t="shared" si="0"/>
        <v>2.7348726131149297</v>
      </c>
    </row>
    <row r="56" spans="1:10" x14ac:dyDescent="0.35">
      <c r="A56" s="17">
        <v>45741</v>
      </c>
      <c r="B56" s="18">
        <v>288.14</v>
      </c>
      <c r="C56" s="18">
        <v>283.60000000000002</v>
      </c>
      <c r="D56" s="18">
        <v>288.2</v>
      </c>
      <c r="E56" s="18">
        <v>271.27999999999997</v>
      </c>
      <c r="F56" s="18" t="s">
        <v>399</v>
      </c>
      <c r="G56" s="18">
        <v>3.5000000000000003E-2</v>
      </c>
      <c r="H56" s="19">
        <v>3.4423464858414278E-2</v>
      </c>
      <c r="I56" s="20">
        <v>3.442346485841429</v>
      </c>
      <c r="J56" s="20">
        <f t="shared" si="0"/>
        <v>0.83195389162601241</v>
      </c>
    </row>
    <row r="57" spans="1:10" x14ac:dyDescent="0.35">
      <c r="A57" s="17">
        <v>45742</v>
      </c>
      <c r="B57" s="18">
        <v>272.06</v>
      </c>
      <c r="C57" s="18">
        <v>282.66000000000003</v>
      </c>
      <c r="D57" s="18">
        <v>284.89999999999998</v>
      </c>
      <c r="E57" s="18">
        <v>266.51</v>
      </c>
      <c r="F57" s="18" t="s">
        <v>398</v>
      </c>
      <c r="G57" s="18">
        <v>-5.5800000000000002E-2</v>
      </c>
      <c r="H57" s="19">
        <v>-5.7423842928042861E-2</v>
      </c>
      <c r="I57" s="20">
        <v>-5.7423842928042861</v>
      </c>
      <c r="J57" s="20">
        <f t="shared" si="0"/>
        <v>-1.399862387892741</v>
      </c>
    </row>
    <row r="58" spans="1:10" x14ac:dyDescent="0.35">
      <c r="A58" s="17">
        <v>45743</v>
      </c>
      <c r="B58" s="18">
        <v>273.13</v>
      </c>
      <c r="C58" s="18">
        <v>272.48</v>
      </c>
      <c r="D58" s="18">
        <v>291.85000000000002</v>
      </c>
      <c r="E58" s="18">
        <v>271.82</v>
      </c>
      <c r="F58" s="18" t="s">
        <v>397</v>
      </c>
      <c r="G58" s="18">
        <v>3.8999999999999998E-3</v>
      </c>
      <c r="H58" s="19">
        <v>3.9252421131618529E-3</v>
      </c>
      <c r="I58" s="20">
        <v>0.39252421131618531</v>
      </c>
      <c r="J58" s="20">
        <f t="shared" si="0"/>
        <v>9.0871418337885521E-2</v>
      </c>
    </row>
    <row r="59" spans="1:10" x14ac:dyDescent="0.35">
      <c r="A59" s="17">
        <v>45744</v>
      </c>
      <c r="B59" s="18">
        <v>263.55</v>
      </c>
      <c r="C59" s="18">
        <v>275.58</v>
      </c>
      <c r="D59" s="18">
        <v>276.10000000000002</v>
      </c>
      <c r="E59" s="18">
        <v>260.57</v>
      </c>
      <c r="F59" s="18" t="s">
        <v>396</v>
      </c>
      <c r="G59" s="18">
        <v>-3.5099999999999999E-2</v>
      </c>
      <c r="H59" s="19">
        <v>-3.570476901722984E-2</v>
      </c>
      <c r="I59" s="20">
        <v>-3.570476901722984</v>
      </c>
      <c r="J59" s="20">
        <f t="shared" si="0"/>
        <v>-0.87210622499113366</v>
      </c>
    </row>
    <row r="60" spans="1:10" x14ac:dyDescent="0.35">
      <c r="A60" s="17">
        <v>45747</v>
      </c>
      <c r="B60" s="18">
        <v>259.16000000000003</v>
      </c>
      <c r="C60" s="18">
        <v>249.31</v>
      </c>
      <c r="D60" s="18">
        <v>260.56</v>
      </c>
      <c r="E60" s="18">
        <v>243.36</v>
      </c>
      <c r="F60" s="18" t="s">
        <v>395</v>
      </c>
      <c r="G60" s="18">
        <v>-1.67E-2</v>
      </c>
      <c r="H60" s="19">
        <v>-1.6797471719459368E-2</v>
      </c>
      <c r="I60" s="20">
        <v>-1.6797471719459369</v>
      </c>
      <c r="J60" s="20">
        <f t="shared" si="0"/>
        <v>-0.41267398981910725</v>
      </c>
    </row>
    <row r="61" spans="1:10" x14ac:dyDescent="0.35">
      <c r="A61" s="17">
        <v>45748</v>
      </c>
      <c r="B61" s="18">
        <v>268.45999999999998</v>
      </c>
      <c r="C61" s="18">
        <v>263.8</v>
      </c>
      <c r="D61" s="18">
        <v>277.45</v>
      </c>
      <c r="E61" s="18">
        <v>259.25</v>
      </c>
      <c r="F61" s="18" t="s">
        <v>394</v>
      </c>
      <c r="G61" s="18">
        <v>3.5900000000000001E-2</v>
      </c>
      <c r="H61" s="19">
        <v>3.5256295477733443E-2</v>
      </c>
      <c r="I61" s="20">
        <v>3.5256295477733439</v>
      </c>
      <c r="J61" s="20">
        <f t="shared" si="0"/>
        <v>0.85219101102639472</v>
      </c>
    </row>
    <row r="62" spans="1:10" x14ac:dyDescent="0.35">
      <c r="A62" s="17">
        <v>45749</v>
      </c>
      <c r="B62" s="18">
        <v>282.76</v>
      </c>
      <c r="C62" s="18">
        <v>254.6</v>
      </c>
      <c r="D62" s="18">
        <v>284.99</v>
      </c>
      <c r="E62" s="18">
        <v>251.27</v>
      </c>
      <c r="F62" s="18" t="s">
        <v>393</v>
      </c>
      <c r="G62" s="18">
        <v>5.33E-2</v>
      </c>
      <c r="H62" s="19">
        <v>5.1896554243263317E-2</v>
      </c>
      <c r="I62" s="20">
        <v>5.1896554243263324</v>
      </c>
      <c r="J62" s="20">
        <f t="shared" si="0"/>
        <v>1.2565360190984789</v>
      </c>
    </row>
    <row r="63" spans="1:10" x14ac:dyDescent="0.35">
      <c r="A63" s="17">
        <v>45750</v>
      </c>
      <c r="B63" s="18">
        <v>267.27999999999997</v>
      </c>
      <c r="C63" s="18">
        <v>265.29000000000002</v>
      </c>
      <c r="D63" s="18">
        <v>276.3</v>
      </c>
      <c r="E63" s="18">
        <v>261.51</v>
      </c>
      <c r="F63" s="18" t="s">
        <v>392</v>
      </c>
      <c r="G63" s="18">
        <v>-5.4699999999999999E-2</v>
      </c>
      <c r="H63" s="19">
        <v>-5.6301683254252249E-2</v>
      </c>
      <c r="I63" s="20">
        <v>-5.6301683254252248</v>
      </c>
      <c r="J63" s="20">
        <f t="shared" si="0"/>
        <v>-1.3725948033707414</v>
      </c>
    </row>
    <row r="64" spans="1:10" x14ac:dyDescent="0.35">
      <c r="A64" s="17">
        <v>45751</v>
      </c>
      <c r="B64" s="18">
        <v>239.43</v>
      </c>
      <c r="C64" s="18">
        <v>255.38</v>
      </c>
      <c r="D64" s="18">
        <v>261</v>
      </c>
      <c r="E64" s="18">
        <v>236</v>
      </c>
      <c r="F64" s="18" t="s">
        <v>391</v>
      </c>
      <c r="G64" s="18">
        <v>-0.1042</v>
      </c>
      <c r="H64" s="19">
        <v>-0.1100356994924737</v>
      </c>
      <c r="I64" s="20">
        <v>-11.003569949247369</v>
      </c>
      <c r="J64" s="20">
        <f t="shared" si="0"/>
        <v>-2.6782885149731461</v>
      </c>
    </row>
    <row r="65" spans="1:10" x14ac:dyDescent="0.35">
      <c r="A65" s="17">
        <v>45754</v>
      </c>
      <c r="B65" s="18">
        <v>233.29</v>
      </c>
      <c r="C65" s="18">
        <v>223.78</v>
      </c>
      <c r="D65" s="18">
        <v>252</v>
      </c>
      <c r="E65" s="18">
        <v>214.25</v>
      </c>
      <c r="F65" s="18" t="s">
        <v>390</v>
      </c>
      <c r="G65" s="18">
        <v>-2.5600000000000001E-2</v>
      </c>
      <c r="H65" s="19">
        <v>-2.5978783713479971E-2</v>
      </c>
      <c r="I65" s="20">
        <v>-2.5978783713479969</v>
      </c>
      <c r="J65" s="20">
        <f t="shared" si="0"/>
        <v>-0.63577254403298877</v>
      </c>
    </row>
    <row r="66" spans="1:10" x14ac:dyDescent="0.35">
      <c r="A66" s="17">
        <v>45755</v>
      </c>
      <c r="B66" s="18">
        <v>221.86</v>
      </c>
      <c r="C66" s="18">
        <v>245</v>
      </c>
      <c r="D66" s="18">
        <v>250.44</v>
      </c>
      <c r="E66" s="18">
        <v>217.8</v>
      </c>
      <c r="F66" s="18" t="s">
        <v>389</v>
      </c>
      <c r="G66" s="18">
        <v>-4.9000000000000002E-2</v>
      </c>
      <c r="H66" s="19">
        <v>-5.0235762532033747E-2</v>
      </c>
      <c r="I66" s="20">
        <v>-5.023576253203375</v>
      </c>
      <c r="J66" s="20">
        <f t="shared" si="0"/>
        <v>-1.225197770791485</v>
      </c>
    </row>
    <row r="67" spans="1:10" x14ac:dyDescent="0.35">
      <c r="A67" s="17">
        <v>45756</v>
      </c>
      <c r="B67" s="18">
        <v>272.2</v>
      </c>
      <c r="C67" s="18">
        <v>224.69</v>
      </c>
      <c r="D67" s="18">
        <v>274.69</v>
      </c>
      <c r="E67" s="18">
        <v>223.88</v>
      </c>
      <c r="F67" s="18" t="s">
        <v>388</v>
      </c>
      <c r="G67" s="18">
        <v>0.22689999999999999</v>
      </c>
      <c r="H67" s="19">
        <v>0.20449053790685209</v>
      </c>
      <c r="I67" s="20">
        <v>20.449053790685209</v>
      </c>
      <c r="J67" s="20">
        <f t="shared" ref="J67:J130" si="1">(H67-C$227)/C$228</f>
        <v>4.9644480429197353</v>
      </c>
    </row>
    <row r="68" spans="1:10" x14ac:dyDescent="0.35">
      <c r="A68" s="17">
        <v>45757</v>
      </c>
      <c r="B68" s="18">
        <v>252.4</v>
      </c>
      <c r="C68" s="18">
        <v>260</v>
      </c>
      <c r="D68" s="18">
        <v>262.49</v>
      </c>
      <c r="E68" s="18">
        <v>239.33</v>
      </c>
      <c r="F68" s="18" t="s">
        <v>387</v>
      </c>
      <c r="G68" s="18">
        <v>-7.2700000000000001E-2</v>
      </c>
      <c r="H68" s="19">
        <v>-7.5521959550307549E-2</v>
      </c>
      <c r="I68" s="20">
        <v>-7.5521959550307551</v>
      </c>
      <c r="J68" s="20">
        <f t="shared" si="1"/>
        <v>-1.8396321784249685</v>
      </c>
    </row>
    <row r="69" spans="1:10" x14ac:dyDescent="0.35">
      <c r="A69" s="17">
        <v>45758</v>
      </c>
      <c r="B69" s="18">
        <v>252.31</v>
      </c>
      <c r="C69" s="18">
        <v>251.84</v>
      </c>
      <c r="D69" s="18">
        <v>257.74</v>
      </c>
      <c r="E69" s="18">
        <v>241.36</v>
      </c>
      <c r="F69" s="18" t="s">
        <v>386</v>
      </c>
      <c r="G69" s="18">
        <v>-4.0000000000000002E-4</v>
      </c>
      <c r="H69" s="19">
        <v>-3.5664045076955772E-4</v>
      </c>
      <c r="I69" s="20">
        <v>-3.5664045076955767E-2</v>
      </c>
      <c r="J69" s="20">
        <f t="shared" si="1"/>
        <v>-1.3174910765064047E-2</v>
      </c>
    </row>
    <row r="70" spans="1:10" x14ac:dyDescent="0.35">
      <c r="A70" s="17">
        <v>45761</v>
      </c>
      <c r="B70" s="18">
        <v>252.35</v>
      </c>
      <c r="C70" s="18">
        <v>258.36</v>
      </c>
      <c r="D70" s="18">
        <v>261.8</v>
      </c>
      <c r="E70" s="18">
        <v>245.93</v>
      </c>
      <c r="F70" s="18" t="s">
        <v>385</v>
      </c>
      <c r="G70" s="18">
        <v>2.0000000000000001E-4</v>
      </c>
      <c r="H70" s="19">
        <v>1.585225699826941E-4</v>
      </c>
      <c r="I70" s="20">
        <v>1.585225699826941E-2</v>
      </c>
      <c r="J70" s="20">
        <f t="shared" si="1"/>
        <v>-6.5686049195127127E-4</v>
      </c>
    </row>
    <row r="71" spans="1:10" x14ac:dyDescent="0.35">
      <c r="A71" s="17">
        <v>45762</v>
      </c>
      <c r="B71" s="18">
        <v>254.11</v>
      </c>
      <c r="C71" s="18">
        <v>249.91</v>
      </c>
      <c r="D71" s="18">
        <v>258.75</v>
      </c>
      <c r="E71" s="18">
        <v>247.54</v>
      </c>
      <c r="F71" s="18" t="s">
        <v>384</v>
      </c>
      <c r="G71" s="18">
        <v>7.0000000000000001E-3</v>
      </c>
      <c r="H71" s="19">
        <v>6.950231350284759E-3</v>
      </c>
      <c r="I71" s="20">
        <v>0.6950231350284759</v>
      </c>
      <c r="J71" s="20">
        <f t="shared" si="1"/>
        <v>0.16437624267608328</v>
      </c>
    </row>
    <row r="72" spans="1:10" x14ac:dyDescent="0.35">
      <c r="A72" s="17">
        <v>45763</v>
      </c>
      <c r="B72" s="18">
        <v>241.55</v>
      </c>
      <c r="C72" s="18">
        <v>247.61</v>
      </c>
      <c r="D72" s="18">
        <v>251.97</v>
      </c>
      <c r="E72" s="18">
        <v>233.89</v>
      </c>
      <c r="F72" s="18" t="s">
        <v>383</v>
      </c>
      <c r="G72" s="18">
        <v>-4.9399999999999999E-2</v>
      </c>
      <c r="H72" s="19">
        <v>-5.0690753136140528E-2</v>
      </c>
      <c r="I72" s="20">
        <v>-5.0690753136140536</v>
      </c>
      <c r="J72" s="20">
        <f t="shared" si="1"/>
        <v>-1.236253679361331</v>
      </c>
    </row>
    <row r="73" spans="1:10" x14ac:dyDescent="0.35">
      <c r="A73" s="17">
        <v>45764</v>
      </c>
      <c r="B73" s="18">
        <v>241.37</v>
      </c>
      <c r="C73" s="18">
        <v>243.47</v>
      </c>
      <c r="D73" s="18">
        <v>244.34</v>
      </c>
      <c r="E73" s="18">
        <v>237.68</v>
      </c>
      <c r="F73" s="18" t="s">
        <v>382</v>
      </c>
      <c r="G73" s="18">
        <v>-6.9999999999999999E-4</v>
      </c>
      <c r="H73" s="19">
        <v>-7.4546512190748308E-4</v>
      </c>
      <c r="I73" s="20">
        <v>-7.4546512190748315E-2</v>
      </c>
      <c r="J73" s="20">
        <f t="shared" si="1"/>
        <v>-2.2623039968172842E-2</v>
      </c>
    </row>
    <row r="74" spans="1:10" x14ac:dyDescent="0.35">
      <c r="A74" s="17">
        <v>45768</v>
      </c>
      <c r="B74" s="18">
        <v>227.5</v>
      </c>
      <c r="C74" s="18">
        <v>230.26</v>
      </c>
      <c r="D74" s="18">
        <v>232.21</v>
      </c>
      <c r="E74" s="18">
        <v>222.79</v>
      </c>
      <c r="F74" s="18" t="s">
        <v>381</v>
      </c>
      <c r="G74" s="18">
        <v>-5.7500000000000002E-2</v>
      </c>
      <c r="H74" s="19">
        <v>-5.9180787487503148E-2</v>
      </c>
      <c r="I74" s="20">
        <v>-5.9180787487503146</v>
      </c>
      <c r="J74" s="20">
        <f t="shared" si="1"/>
        <v>-1.4425547385398827</v>
      </c>
    </row>
    <row r="75" spans="1:10" x14ac:dyDescent="0.35">
      <c r="A75" s="17">
        <v>45769</v>
      </c>
      <c r="B75" s="18">
        <v>237.97</v>
      </c>
      <c r="C75" s="18">
        <v>230.96</v>
      </c>
      <c r="D75" s="18">
        <v>242.79</v>
      </c>
      <c r="E75" s="18">
        <v>229.85</v>
      </c>
      <c r="F75" s="18" t="s">
        <v>380</v>
      </c>
      <c r="G75" s="18">
        <v>4.5999999999999999E-2</v>
      </c>
      <c r="H75" s="19">
        <v>4.499437691527957E-2</v>
      </c>
      <c r="I75" s="20">
        <v>4.499437691527957</v>
      </c>
      <c r="J75" s="20">
        <f t="shared" si="1"/>
        <v>1.0888186183823443</v>
      </c>
    </row>
    <row r="76" spans="1:10" x14ac:dyDescent="0.35">
      <c r="A76" s="17">
        <v>45770</v>
      </c>
      <c r="B76" s="18">
        <v>250.74</v>
      </c>
      <c r="C76" s="18">
        <v>254.86</v>
      </c>
      <c r="D76" s="18">
        <v>259.45</v>
      </c>
      <c r="E76" s="18">
        <v>244.43</v>
      </c>
      <c r="F76" s="18" t="s">
        <v>379</v>
      </c>
      <c r="G76" s="18">
        <v>5.3699999999999998E-2</v>
      </c>
      <c r="H76" s="19">
        <v>5.2271930381594348E-2</v>
      </c>
      <c r="I76" s="20">
        <v>5.2271930381594336</v>
      </c>
      <c r="J76" s="20">
        <f t="shared" si="1"/>
        <v>1.2656573596871206</v>
      </c>
    </row>
    <row r="77" spans="1:10" x14ac:dyDescent="0.35">
      <c r="A77" s="17">
        <v>45771</v>
      </c>
      <c r="B77" s="18">
        <v>259.51</v>
      </c>
      <c r="C77" s="18">
        <v>250.5</v>
      </c>
      <c r="D77" s="18">
        <v>259.54000000000002</v>
      </c>
      <c r="E77" s="18">
        <v>249.2</v>
      </c>
      <c r="F77" s="18" t="s">
        <v>378</v>
      </c>
      <c r="G77" s="18">
        <v>3.5000000000000003E-2</v>
      </c>
      <c r="H77" s="19">
        <v>3.437869182105744E-2</v>
      </c>
      <c r="I77" s="20">
        <v>3.4378691821057439</v>
      </c>
      <c r="J77" s="20">
        <f t="shared" si="1"/>
        <v>0.83086594254982593</v>
      </c>
    </row>
    <row r="78" spans="1:10" x14ac:dyDescent="0.35">
      <c r="A78" s="17">
        <v>45772</v>
      </c>
      <c r="B78" s="18">
        <v>284.95</v>
      </c>
      <c r="C78" s="18">
        <v>261.69</v>
      </c>
      <c r="D78" s="18">
        <v>286.85000000000002</v>
      </c>
      <c r="E78" s="18">
        <v>259.63</v>
      </c>
      <c r="F78" s="18" t="s">
        <v>377</v>
      </c>
      <c r="G78" s="18">
        <v>9.8000000000000004E-2</v>
      </c>
      <c r="H78" s="19">
        <v>9.3518488772072139E-2</v>
      </c>
      <c r="I78" s="20">
        <v>9.3518488772072139</v>
      </c>
      <c r="J78" s="20">
        <f t="shared" si="1"/>
        <v>2.267915811334003</v>
      </c>
    </row>
    <row r="79" spans="1:10" x14ac:dyDescent="0.35">
      <c r="A79" s="17">
        <v>45775</v>
      </c>
      <c r="B79" s="18">
        <v>285.88</v>
      </c>
      <c r="C79" s="18">
        <v>288.98</v>
      </c>
      <c r="D79" s="18">
        <v>294.86</v>
      </c>
      <c r="E79" s="18">
        <v>272.42</v>
      </c>
      <c r="F79" s="18" t="s">
        <v>376</v>
      </c>
      <c r="G79" s="18">
        <v>3.3E-3</v>
      </c>
      <c r="H79" s="19">
        <v>3.2584160707696359E-3</v>
      </c>
      <c r="I79" s="20">
        <v>0.32584160707696358</v>
      </c>
      <c r="J79" s="20">
        <f t="shared" si="1"/>
        <v>7.466807767516169E-2</v>
      </c>
    </row>
    <row r="80" spans="1:10" x14ac:dyDescent="0.35">
      <c r="A80" s="17">
        <v>45776</v>
      </c>
      <c r="B80" s="18">
        <v>292.02999999999997</v>
      </c>
      <c r="C80" s="18">
        <v>285.5</v>
      </c>
      <c r="D80" s="18">
        <v>293.32</v>
      </c>
      <c r="E80" s="18">
        <v>279.47000000000003</v>
      </c>
      <c r="F80" s="18" t="s">
        <v>375</v>
      </c>
      <c r="G80" s="18">
        <v>2.1499999999999998E-2</v>
      </c>
      <c r="H80" s="19">
        <v>2.128439436516668E-2</v>
      </c>
      <c r="I80" s="20">
        <v>2.128439436516667</v>
      </c>
      <c r="J80" s="20">
        <f t="shared" si="1"/>
        <v>0.51268496441094269</v>
      </c>
    </row>
    <row r="81" spans="1:10" x14ac:dyDescent="0.35">
      <c r="A81" s="17">
        <v>45777</v>
      </c>
      <c r="B81" s="18">
        <v>282.16000000000003</v>
      </c>
      <c r="C81" s="18">
        <v>279.89999999999998</v>
      </c>
      <c r="D81" s="18">
        <v>284.45</v>
      </c>
      <c r="E81" s="18">
        <v>270.77999999999997</v>
      </c>
      <c r="F81" s="18" t="s">
        <v>345</v>
      </c>
      <c r="G81" s="18">
        <v>-3.3799999999999997E-2</v>
      </c>
      <c r="H81" s="19">
        <v>-3.4382250789148187E-2</v>
      </c>
      <c r="I81" s="20">
        <v>-3.4382250789148192</v>
      </c>
      <c r="J81" s="20">
        <f t="shared" si="1"/>
        <v>-0.83997008749807434</v>
      </c>
    </row>
    <row r="82" spans="1:10" x14ac:dyDescent="0.35">
      <c r="A82" s="17">
        <v>45778</v>
      </c>
      <c r="B82" s="18">
        <v>280.52</v>
      </c>
      <c r="C82" s="18">
        <v>280.01</v>
      </c>
      <c r="D82" s="18">
        <v>290.87</v>
      </c>
      <c r="E82" s="18">
        <v>279.81</v>
      </c>
      <c r="F82" s="18" t="s">
        <v>374</v>
      </c>
      <c r="G82" s="18">
        <v>-5.7999999999999996E-3</v>
      </c>
      <c r="H82" s="19">
        <v>-5.8292622590870426E-3</v>
      </c>
      <c r="I82" s="20">
        <v>-0.58292622590870424</v>
      </c>
      <c r="J82" s="20">
        <f t="shared" si="1"/>
        <v>-0.14615525322484876</v>
      </c>
    </row>
    <row r="83" spans="1:10" x14ac:dyDescent="0.35">
      <c r="A83" s="17">
        <v>45779</v>
      </c>
      <c r="B83" s="18">
        <v>287.20999999999998</v>
      </c>
      <c r="C83" s="18">
        <v>284.89999999999998</v>
      </c>
      <c r="D83" s="18">
        <v>294.77999999999997</v>
      </c>
      <c r="E83" s="18">
        <v>279.81</v>
      </c>
      <c r="F83" s="18" t="s">
        <v>373</v>
      </c>
      <c r="G83" s="18">
        <v>2.3800000000000002E-2</v>
      </c>
      <c r="H83" s="19">
        <v>2.356863184069833E-2</v>
      </c>
      <c r="I83" s="20">
        <v>2.3568631840698329</v>
      </c>
      <c r="J83" s="20">
        <f t="shared" si="1"/>
        <v>0.56819011210706338</v>
      </c>
    </row>
    <row r="84" spans="1:10" x14ac:dyDescent="0.35">
      <c r="A84" s="17">
        <v>45782</v>
      </c>
      <c r="B84" s="18">
        <v>280.26</v>
      </c>
      <c r="C84" s="18">
        <v>284.57</v>
      </c>
      <c r="D84" s="18">
        <v>284.85000000000002</v>
      </c>
      <c r="E84" s="18">
        <v>274.39999999999998</v>
      </c>
      <c r="F84" s="18" t="s">
        <v>372</v>
      </c>
      <c r="G84" s="18">
        <v>-2.4199999999999999E-2</v>
      </c>
      <c r="H84" s="19">
        <v>-2.4495911767336329E-2</v>
      </c>
      <c r="I84" s="20">
        <v>-2.4495911767336329</v>
      </c>
      <c r="J84" s="20">
        <f t="shared" si="1"/>
        <v>-0.59973993916296309</v>
      </c>
    </row>
    <row r="85" spans="1:10" x14ac:dyDescent="0.35">
      <c r="A85" s="17">
        <v>45783</v>
      </c>
      <c r="B85" s="18">
        <v>275.35000000000002</v>
      </c>
      <c r="C85" s="18">
        <v>273.11</v>
      </c>
      <c r="D85" s="18">
        <v>277.73</v>
      </c>
      <c r="E85" s="18">
        <v>271.35000000000002</v>
      </c>
      <c r="F85" s="18" t="s">
        <v>371</v>
      </c>
      <c r="G85" s="18">
        <v>-1.7500000000000002E-2</v>
      </c>
      <c r="H85" s="19">
        <v>-1.7674728033581031E-2</v>
      </c>
      <c r="I85" s="20">
        <v>-1.767472803358104</v>
      </c>
      <c r="J85" s="20">
        <f t="shared" si="1"/>
        <v>-0.43399061814880591</v>
      </c>
    </row>
    <row r="86" spans="1:10" x14ac:dyDescent="0.35">
      <c r="A86" s="17">
        <v>45784</v>
      </c>
      <c r="B86" s="18">
        <v>276.22000000000003</v>
      </c>
      <c r="C86" s="18">
        <v>276.88</v>
      </c>
      <c r="D86" s="18">
        <v>277.92</v>
      </c>
      <c r="E86" s="18">
        <v>271</v>
      </c>
      <c r="F86" s="18" t="s">
        <v>370</v>
      </c>
      <c r="G86" s="18">
        <v>3.2000000000000002E-3</v>
      </c>
      <c r="H86" s="19">
        <v>3.154633941292017E-3</v>
      </c>
      <c r="I86" s="20">
        <v>0.31546339412920171</v>
      </c>
      <c r="J86" s="20">
        <f t="shared" si="1"/>
        <v>7.2146254753255354E-2</v>
      </c>
    </row>
    <row r="87" spans="1:10" x14ac:dyDescent="0.35">
      <c r="A87" s="17">
        <v>45785</v>
      </c>
      <c r="B87" s="18">
        <v>284.82</v>
      </c>
      <c r="C87" s="18">
        <v>279.63</v>
      </c>
      <c r="D87" s="18">
        <v>289.8</v>
      </c>
      <c r="E87" s="18">
        <v>279.41000000000003</v>
      </c>
      <c r="F87" s="18" t="s">
        <v>369</v>
      </c>
      <c r="G87" s="18">
        <v>3.1099999999999999E-2</v>
      </c>
      <c r="H87" s="19">
        <v>3.0659752141498929E-2</v>
      </c>
      <c r="I87" s="20">
        <v>3.0659752141498928</v>
      </c>
      <c r="J87" s="20">
        <f t="shared" si="1"/>
        <v>0.74049867627475741</v>
      </c>
    </row>
    <row r="88" spans="1:10" x14ac:dyDescent="0.35">
      <c r="A88" s="17">
        <v>45786</v>
      </c>
      <c r="B88" s="18">
        <v>298.26</v>
      </c>
      <c r="C88" s="18">
        <v>290.20999999999998</v>
      </c>
      <c r="D88" s="18">
        <v>307.04000000000002</v>
      </c>
      <c r="E88" s="18">
        <v>290</v>
      </c>
      <c r="F88" s="18" t="s">
        <v>368</v>
      </c>
      <c r="G88" s="18">
        <v>4.7199999999999999E-2</v>
      </c>
      <c r="H88" s="19">
        <v>4.6108187543354537E-2</v>
      </c>
      <c r="I88" s="20">
        <v>4.6108187543354546</v>
      </c>
      <c r="J88" s="20">
        <f t="shared" si="1"/>
        <v>1.1158833277564959</v>
      </c>
    </row>
    <row r="89" spans="1:10" x14ac:dyDescent="0.35">
      <c r="A89" s="17">
        <v>45789</v>
      </c>
      <c r="B89" s="18">
        <v>318.38</v>
      </c>
      <c r="C89" s="18">
        <v>321.99</v>
      </c>
      <c r="D89" s="18">
        <v>322.20999999999998</v>
      </c>
      <c r="E89" s="18">
        <v>311.5</v>
      </c>
      <c r="F89" s="18" t="s">
        <v>367</v>
      </c>
      <c r="G89" s="18">
        <v>6.7500000000000004E-2</v>
      </c>
      <c r="H89" s="19">
        <v>6.5280048592353646E-2</v>
      </c>
      <c r="I89" s="20">
        <v>6.5280048592353648</v>
      </c>
      <c r="J89" s="20">
        <f t="shared" si="1"/>
        <v>1.5817442509455455</v>
      </c>
    </row>
    <row r="90" spans="1:10" x14ac:dyDescent="0.35">
      <c r="A90" s="17">
        <v>45790</v>
      </c>
      <c r="B90" s="18">
        <v>334.07</v>
      </c>
      <c r="C90" s="18">
        <v>320</v>
      </c>
      <c r="D90" s="18">
        <v>337.59</v>
      </c>
      <c r="E90" s="18">
        <v>316.8</v>
      </c>
      <c r="F90" s="18" t="s">
        <v>366</v>
      </c>
      <c r="G90" s="18">
        <v>4.9299999999999997E-2</v>
      </c>
      <c r="H90" s="19">
        <v>4.8104913929037998E-2</v>
      </c>
      <c r="I90" s="20">
        <v>4.8104913929038</v>
      </c>
      <c r="J90" s="20">
        <f t="shared" si="1"/>
        <v>1.1644021854204989</v>
      </c>
    </row>
    <row r="91" spans="1:10" x14ac:dyDescent="0.35">
      <c r="A91" s="17">
        <v>45791</v>
      </c>
      <c r="B91" s="18">
        <v>347.68</v>
      </c>
      <c r="C91" s="18">
        <v>342.5</v>
      </c>
      <c r="D91" s="18">
        <v>350</v>
      </c>
      <c r="E91" s="18">
        <v>337</v>
      </c>
      <c r="F91" s="18" t="s">
        <v>365</v>
      </c>
      <c r="G91" s="18">
        <v>4.07E-2</v>
      </c>
      <c r="H91" s="19">
        <v>3.9931964652091589E-2</v>
      </c>
      <c r="I91" s="20">
        <v>3.9931964652091589</v>
      </c>
      <c r="J91" s="20">
        <f t="shared" si="1"/>
        <v>0.96580604049724428</v>
      </c>
    </row>
    <row r="92" spans="1:10" x14ac:dyDescent="0.35">
      <c r="A92" s="17">
        <v>45792</v>
      </c>
      <c r="B92" s="18">
        <v>342.82</v>
      </c>
      <c r="C92" s="18">
        <v>340.34</v>
      </c>
      <c r="D92" s="18">
        <v>346.14</v>
      </c>
      <c r="E92" s="18">
        <v>334.72</v>
      </c>
      <c r="F92" s="18" t="s">
        <v>364</v>
      </c>
      <c r="G92" s="18">
        <v>-1.4E-2</v>
      </c>
      <c r="H92" s="19">
        <v>-1.407698842920861E-2</v>
      </c>
      <c r="I92" s="20">
        <v>-1.407698842920861</v>
      </c>
      <c r="J92" s="20">
        <f t="shared" si="1"/>
        <v>-0.34656841697578827</v>
      </c>
    </row>
    <row r="93" spans="1:10" x14ac:dyDescent="0.35">
      <c r="A93" s="17">
        <v>45793</v>
      </c>
      <c r="B93" s="18">
        <v>349.98</v>
      </c>
      <c r="C93" s="18">
        <v>346.24</v>
      </c>
      <c r="D93" s="18">
        <v>351.62</v>
      </c>
      <c r="E93" s="18">
        <v>342.33</v>
      </c>
      <c r="F93" s="18" t="s">
        <v>363</v>
      </c>
      <c r="G93" s="18">
        <v>2.0899999999999998E-2</v>
      </c>
      <c r="H93" s="19">
        <v>2.0670481914690359E-2</v>
      </c>
      <c r="I93" s="20">
        <v>2.067048191469036</v>
      </c>
      <c r="J93" s="20">
        <f t="shared" si="1"/>
        <v>0.49776738180353691</v>
      </c>
    </row>
    <row r="94" spans="1:10" x14ac:dyDescent="0.35">
      <c r="A94" s="17">
        <v>45796</v>
      </c>
      <c r="B94" s="18">
        <v>342.09</v>
      </c>
      <c r="C94" s="18">
        <v>336.3</v>
      </c>
      <c r="D94" s="18">
        <v>343</v>
      </c>
      <c r="E94" s="18">
        <v>333.37</v>
      </c>
      <c r="F94" s="18" t="s">
        <v>362</v>
      </c>
      <c r="G94" s="18">
        <v>-2.2499999999999999E-2</v>
      </c>
      <c r="H94" s="19">
        <v>-2.2802149656224659E-2</v>
      </c>
      <c r="I94" s="20">
        <v>-2.280214965622466</v>
      </c>
      <c r="J94" s="20">
        <f t="shared" si="1"/>
        <v>-0.5585828715872877</v>
      </c>
    </row>
    <row r="95" spans="1:10" x14ac:dyDescent="0.35">
      <c r="A95" s="17">
        <v>45797</v>
      </c>
      <c r="B95" s="18">
        <v>343.82</v>
      </c>
      <c r="C95" s="18">
        <v>347.87</v>
      </c>
      <c r="D95" s="18">
        <v>354.99</v>
      </c>
      <c r="E95" s="18">
        <v>341.63</v>
      </c>
      <c r="F95" s="18" t="s">
        <v>361</v>
      </c>
      <c r="G95" s="18">
        <v>5.1000000000000004E-3</v>
      </c>
      <c r="H95" s="19">
        <v>5.0444042759707234E-3</v>
      </c>
      <c r="I95" s="20">
        <v>0.50444042759707231</v>
      </c>
      <c r="J95" s="20">
        <f t="shared" si="1"/>
        <v>0.11806616573522349</v>
      </c>
    </row>
    <row r="96" spans="1:10" x14ac:dyDescent="0.35">
      <c r="A96" s="17">
        <v>45798</v>
      </c>
      <c r="B96" s="18">
        <v>334.62</v>
      </c>
      <c r="C96" s="18">
        <v>344.43</v>
      </c>
      <c r="D96" s="18">
        <v>347.35</v>
      </c>
      <c r="E96" s="18">
        <v>332.2</v>
      </c>
      <c r="F96" s="18" t="s">
        <v>360</v>
      </c>
      <c r="G96" s="18">
        <v>-2.6800000000000001E-2</v>
      </c>
      <c r="H96" s="19">
        <v>-2.7122704983830091E-2</v>
      </c>
      <c r="I96" s="20">
        <v>-2.7122704983830088</v>
      </c>
      <c r="J96" s="20">
        <f t="shared" si="1"/>
        <v>-0.66356891798431772</v>
      </c>
    </row>
    <row r="97" spans="1:10" x14ac:dyDescent="0.35">
      <c r="A97" s="17">
        <v>45799</v>
      </c>
      <c r="B97" s="18">
        <v>341.04</v>
      </c>
      <c r="C97" s="18">
        <v>331.9</v>
      </c>
      <c r="D97" s="18">
        <v>347.27</v>
      </c>
      <c r="E97" s="18">
        <v>331.39</v>
      </c>
      <c r="F97" s="18" t="s">
        <v>280</v>
      </c>
      <c r="G97" s="18">
        <v>1.9199999999999998E-2</v>
      </c>
      <c r="H97" s="19">
        <v>1.900421282743751E-2</v>
      </c>
      <c r="I97" s="20">
        <v>1.900421282743751</v>
      </c>
      <c r="J97" s="20">
        <f t="shared" si="1"/>
        <v>0.45727837276653932</v>
      </c>
    </row>
    <row r="98" spans="1:10" x14ac:dyDescent="0.35">
      <c r="A98" s="17">
        <v>45800</v>
      </c>
      <c r="B98" s="18">
        <v>339.34</v>
      </c>
      <c r="C98" s="18">
        <v>337.92</v>
      </c>
      <c r="D98" s="18">
        <v>343.18</v>
      </c>
      <c r="E98" s="18">
        <v>333.21</v>
      </c>
      <c r="F98" s="18" t="s">
        <v>359</v>
      </c>
      <c r="G98" s="18">
        <v>-5.0000000000000001E-3</v>
      </c>
      <c r="H98" s="19">
        <v>-4.9972178421616061E-3</v>
      </c>
      <c r="I98" s="20">
        <v>-0.49972178421616059</v>
      </c>
      <c r="J98" s="20">
        <f t="shared" si="1"/>
        <v>-0.12593723791519709</v>
      </c>
    </row>
    <row r="99" spans="1:10" x14ac:dyDescent="0.35">
      <c r="A99" s="17">
        <v>45804</v>
      </c>
      <c r="B99" s="18">
        <v>362.89</v>
      </c>
      <c r="C99" s="18">
        <v>347.35</v>
      </c>
      <c r="D99" s="18">
        <v>363.79</v>
      </c>
      <c r="E99" s="18">
        <v>347.32</v>
      </c>
      <c r="F99" s="18" t="s">
        <v>358</v>
      </c>
      <c r="G99" s="18">
        <v>6.9400000000000003E-2</v>
      </c>
      <c r="H99" s="19">
        <v>6.7097203424067164E-2</v>
      </c>
      <c r="I99" s="20">
        <v>6.7097203424067162</v>
      </c>
      <c r="J99" s="20">
        <f t="shared" si="1"/>
        <v>1.6258996631570113</v>
      </c>
    </row>
    <row r="100" spans="1:10" x14ac:dyDescent="0.35">
      <c r="A100" s="17">
        <v>45805</v>
      </c>
      <c r="B100" s="18">
        <v>356.9</v>
      </c>
      <c r="C100" s="18">
        <v>364.84</v>
      </c>
      <c r="D100" s="18">
        <v>365</v>
      </c>
      <c r="E100" s="18">
        <v>355.91</v>
      </c>
      <c r="F100" s="18" t="s">
        <v>357</v>
      </c>
      <c r="G100" s="18">
        <v>-1.6500000000000001E-2</v>
      </c>
      <c r="H100" s="19">
        <v>-1.6644127542745961E-2</v>
      </c>
      <c r="I100" s="20">
        <v>-1.6644127542745959</v>
      </c>
      <c r="J100" s="20">
        <f t="shared" si="1"/>
        <v>-0.40894784870287471</v>
      </c>
    </row>
    <row r="101" spans="1:10" x14ac:dyDescent="0.35">
      <c r="A101" s="17">
        <v>45806</v>
      </c>
      <c r="B101" s="18">
        <v>358.43</v>
      </c>
      <c r="C101" s="18">
        <v>365.29</v>
      </c>
      <c r="D101" s="18">
        <v>367.71</v>
      </c>
      <c r="E101" s="18">
        <v>356</v>
      </c>
      <c r="F101" s="18" t="s">
        <v>356</v>
      </c>
      <c r="G101" s="18">
        <v>4.3E-3</v>
      </c>
      <c r="H101" s="19">
        <v>4.2777524587056621E-3</v>
      </c>
      <c r="I101" s="20">
        <v>0.4277752458705662</v>
      </c>
      <c r="J101" s="20">
        <f t="shared" si="1"/>
        <v>9.9437138410079715E-2</v>
      </c>
    </row>
    <row r="102" spans="1:10" x14ac:dyDescent="0.35">
      <c r="A102" s="17">
        <v>45807</v>
      </c>
      <c r="B102" s="18">
        <v>346.46</v>
      </c>
      <c r="C102" s="18">
        <v>355.52</v>
      </c>
      <c r="D102" s="18">
        <v>363.68</v>
      </c>
      <c r="E102" s="18">
        <v>345.29</v>
      </c>
      <c r="F102" s="18" t="s">
        <v>355</v>
      </c>
      <c r="G102" s="18">
        <v>-3.3399999999999999E-2</v>
      </c>
      <c r="H102" s="19">
        <v>-3.3966011104025542E-2</v>
      </c>
      <c r="I102" s="20">
        <v>-3.3966011104025542</v>
      </c>
      <c r="J102" s="20">
        <f t="shared" si="1"/>
        <v>-0.8298557953339718</v>
      </c>
    </row>
    <row r="103" spans="1:10" x14ac:dyDescent="0.35">
      <c r="A103" s="17">
        <v>45810</v>
      </c>
      <c r="B103" s="18">
        <v>342.69</v>
      </c>
      <c r="C103" s="18">
        <v>343.5</v>
      </c>
      <c r="D103" s="18">
        <v>348.02</v>
      </c>
      <c r="E103" s="18">
        <v>333.33</v>
      </c>
      <c r="F103" s="18" t="s">
        <v>354</v>
      </c>
      <c r="G103" s="18">
        <v>-1.09E-2</v>
      </c>
      <c r="H103" s="19">
        <v>-1.094112343682941E-2</v>
      </c>
      <c r="I103" s="20">
        <v>-1.094112343682941</v>
      </c>
      <c r="J103" s="20">
        <f t="shared" si="1"/>
        <v>-0.27036940027040363</v>
      </c>
    </row>
    <row r="104" spans="1:10" x14ac:dyDescent="0.35">
      <c r="A104" s="17">
        <v>45811</v>
      </c>
      <c r="B104" s="18">
        <v>344.27</v>
      </c>
      <c r="C104" s="18">
        <v>346.6</v>
      </c>
      <c r="D104" s="18">
        <v>355.4</v>
      </c>
      <c r="E104" s="18">
        <v>343.04</v>
      </c>
      <c r="F104" s="18" t="s">
        <v>353</v>
      </c>
      <c r="G104" s="18">
        <v>4.5999999999999999E-3</v>
      </c>
      <c r="H104" s="19">
        <v>4.5999848202144733E-3</v>
      </c>
      <c r="I104" s="20">
        <v>0.45999848202144727</v>
      </c>
      <c r="J104" s="20">
        <f t="shared" si="1"/>
        <v>0.1072671276338812</v>
      </c>
    </row>
    <row r="105" spans="1:10" x14ac:dyDescent="0.35">
      <c r="A105" s="17">
        <v>45812</v>
      </c>
      <c r="B105" s="18">
        <v>332.05</v>
      </c>
      <c r="C105" s="18">
        <v>345.1</v>
      </c>
      <c r="D105" s="18">
        <v>345.6</v>
      </c>
      <c r="E105" s="18">
        <v>327.33</v>
      </c>
      <c r="F105" s="18" t="s">
        <v>352</v>
      </c>
      <c r="G105" s="18">
        <v>-3.5499999999999997E-2</v>
      </c>
      <c r="H105" s="19">
        <v>-3.6140673247457178E-2</v>
      </c>
      <c r="I105" s="20">
        <v>-3.6140673247457191</v>
      </c>
      <c r="J105" s="20">
        <f t="shared" si="1"/>
        <v>-0.88269834990778706</v>
      </c>
    </row>
    <row r="106" spans="1:10" x14ac:dyDescent="0.35">
      <c r="A106" s="17">
        <v>45813</v>
      </c>
      <c r="B106" s="18">
        <v>284.7</v>
      </c>
      <c r="C106" s="18">
        <v>322.49</v>
      </c>
      <c r="D106" s="18">
        <v>324.55</v>
      </c>
      <c r="E106" s="18">
        <v>273.20999999999998</v>
      </c>
      <c r="F106" s="18" t="s">
        <v>351</v>
      </c>
      <c r="G106" s="18">
        <v>-0.1426</v>
      </c>
      <c r="H106" s="19">
        <v>-0.15384956570273089</v>
      </c>
      <c r="I106" s="20">
        <v>-15.38495657027309</v>
      </c>
      <c r="J106" s="20">
        <f t="shared" si="1"/>
        <v>-3.7429304977741591</v>
      </c>
    </row>
    <row r="107" spans="1:10" x14ac:dyDescent="0.35">
      <c r="A107" s="17">
        <v>45814</v>
      </c>
      <c r="B107" s="18">
        <v>295.14</v>
      </c>
      <c r="C107" s="18">
        <v>298.83</v>
      </c>
      <c r="D107" s="18">
        <v>305.5</v>
      </c>
      <c r="E107" s="18">
        <v>291.14</v>
      </c>
      <c r="F107" s="18" t="s">
        <v>350</v>
      </c>
      <c r="G107" s="18">
        <v>3.6700000000000003E-2</v>
      </c>
      <c r="H107" s="19">
        <v>3.6013825751311533E-2</v>
      </c>
      <c r="I107" s="20">
        <v>3.601382575131153</v>
      </c>
      <c r="J107" s="20">
        <f t="shared" si="1"/>
        <v>0.8705983921194872</v>
      </c>
    </row>
    <row r="108" spans="1:10" x14ac:dyDescent="0.35">
      <c r="A108" s="17">
        <v>45817</v>
      </c>
      <c r="B108" s="18">
        <v>308.58</v>
      </c>
      <c r="C108" s="18">
        <v>285.95</v>
      </c>
      <c r="D108" s="18">
        <v>309.83</v>
      </c>
      <c r="E108" s="18">
        <v>281.85000000000002</v>
      </c>
      <c r="F108" s="18" t="s">
        <v>349</v>
      </c>
      <c r="G108" s="18">
        <v>4.5499999999999999E-2</v>
      </c>
      <c r="H108" s="19">
        <v>4.4531308979576467E-2</v>
      </c>
      <c r="I108" s="20">
        <v>4.4531308979576476</v>
      </c>
      <c r="J108" s="20">
        <f t="shared" si="1"/>
        <v>1.0775664371009055</v>
      </c>
    </row>
    <row r="109" spans="1:10" x14ac:dyDescent="0.35">
      <c r="A109" s="17">
        <v>45818</v>
      </c>
      <c r="B109" s="18">
        <v>326.08999999999997</v>
      </c>
      <c r="C109" s="18">
        <v>314.94</v>
      </c>
      <c r="D109" s="18">
        <v>327.83</v>
      </c>
      <c r="E109" s="18">
        <v>310.67</v>
      </c>
      <c r="F109" s="18" t="s">
        <v>348</v>
      </c>
      <c r="G109" s="18">
        <v>5.67E-2</v>
      </c>
      <c r="H109" s="19">
        <v>5.5192287870150229E-2</v>
      </c>
      <c r="I109" s="20">
        <v>5.519228787015023</v>
      </c>
      <c r="J109" s="20">
        <f t="shared" si="1"/>
        <v>1.3366197160375868</v>
      </c>
    </row>
    <row r="110" spans="1:10" x14ac:dyDescent="0.35">
      <c r="A110" s="17">
        <v>45819</v>
      </c>
      <c r="B110" s="18">
        <v>326.43</v>
      </c>
      <c r="C110" s="18">
        <v>334.39</v>
      </c>
      <c r="D110" s="18">
        <v>335.5</v>
      </c>
      <c r="E110" s="18">
        <v>322.5</v>
      </c>
      <c r="F110" s="18" t="s">
        <v>347</v>
      </c>
      <c r="G110" s="18">
        <v>1E-3</v>
      </c>
      <c r="H110" s="19">
        <v>1.0421137460002771E-3</v>
      </c>
      <c r="I110" s="20">
        <v>0.1042113746000277</v>
      </c>
      <c r="J110" s="20">
        <f t="shared" si="1"/>
        <v>2.0813699926216313E-2</v>
      </c>
    </row>
    <row r="111" spans="1:10" x14ac:dyDescent="0.35">
      <c r="A111" s="17">
        <v>45820</v>
      </c>
      <c r="B111" s="18">
        <v>319.11</v>
      </c>
      <c r="C111" s="18">
        <v>323.08</v>
      </c>
      <c r="D111" s="18">
        <v>332.56</v>
      </c>
      <c r="E111" s="18">
        <v>316.86</v>
      </c>
      <c r="F111" s="18" t="s">
        <v>346</v>
      </c>
      <c r="G111" s="18">
        <v>-2.24E-2</v>
      </c>
      <c r="H111" s="19">
        <v>-2.267965969934721E-2</v>
      </c>
      <c r="I111" s="20">
        <v>-2.2679659699347212</v>
      </c>
      <c r="J111" s="20">
        <f t="shared" si="1"/>
        <v>-0.55560646338954023</v>
      </c>
    </row>
    <row r="112" spans="1:10" x14ac:dyDescent="0.35">
      <c r="A112" s="17">
        <v>45821</v>
      </c>
      <c r="B112" s="18">
        <v>325.31</v>
      </c>
      <c r="C112" s="18">
        <v>313.97000000000003</v>
      </c>
      <c r="D112" s="18">
        <v>332.99</v>
      </c>
      <c r="E112" s="18">
        <v>313.3</v>
      </c>
      <c r="F112" s="18" t="s">
        <v>345</v>
      </c>
      <c r="G112" s="18">
        <v>1.9400000000000001E-2</v>
      </c>
      <c r="H112" s="19">
        <v>1.9242702929728021E-2</v>
      </c>
      <c r="I112" s="20">
        <v>1.9242702929728019</v>
      </c>
      <c r="J112" s="20">
        <f t="shared" si="1"/>
        <v>0.46307349192271052</v>
      </c>
    </row>
    <row r="113" spans="1:10" x14ac:dyDescent="0.35">
      <c r="A113" s="17">
        <v>45824</v>
      </c>
      <c r="B113" s="18">
        <v>329.13</v>
      </c>
      <c r="C113" s="18">
        <v>331.29</v>
      </c>
      <c r="D113" s="18">
        <v>332.05</v>
      </c>
      <c r="E113" s="18">
        <v>326.41000000000003</v>
      </c>
      <c r="F113" s="18" t="s">
        <v>315</v>
      </c>
      <c r="G113" s="18">
        <v>1.17E-2</v>
      </c>
      <c r="H113" s="19">
        <v>1.167423563609808E-2</v>
      </c>
      <c r="I113" s="20">
        <v>1.167423563609808</v>
      </c>
      <c r="J113" s="20">
        <f t="shared" si="1"/>
        <v>0.27916577678095894</v>
      </c>
    </row>
    <row r="114" spans="1:10" x14ac:dyDescent="0.35">
      <c r="A114" s="17">
        <v>45825</v>
      </c>
      <c r="B114" s="18">
        <v>316.35000000000002</v>
      </c>
      <c r="C114" s="18">
        <v>326.08999999999997</v>
      </c>
      <c r="D114" s="18">
        <v>327.26</v>
      </c>
      <c r="E114" s="18">
        <v>314.74</v>
      </c>
      <c r="F114" s="18" t="s">
        <v>344</v>
      </c>
      <c r="G114" s="18">
        <v>-3.8800000000000001E-2</v>
      </c>
      <c r="H114" s="19">
        <v>-3.960361390461585E-2</v>
      </c>
      <c r="I114" s="20">
        <v>-3.9603613904615851</v>
      </c>
      <c r="J114" s="20">
        <f t="shared" si="1"/>
        <v>-0.9668450442412021</v>
      </c>
    </row>
    <row r="115" spans="1:10" x14ac:dyDescent="0.35">
      <c r="A115" s="17">
        <v>45826</v>
      </c>
      <c r="B115" s="18">
        <v>322.05</v>
      </c>
      <c r="C115" s="18">
        <v>317.31</v>
      </c>
      <c r="D115" s="18">
        <v>329.32</v>
      </c>
      <c r="E115" s="18">
        <v>315.45</v>
      </c>
      <c r="F115" s="18" t="s">
        <v>343</v>
      </c>
      <c r="G115" s="18">
        <v>1.7999999999999999E-2</v>
      </c>
      <c r="H115" s="19">
        <v>1.7857617400006472E-2</v>
      </c>
      <c r="I115" s="20">
        <v>1.7857617400006469</v>
      </c>
      <c r="J115" s="20">
        <f t="shared" si="1"/>
        <v>0.42941701893228268</v>
      </c>
    </row>
    <row r="116" spans="1:10" x14ac:dyDescent="0.35">
      <c r="A116" s="17">
        <v>45828</v>
      </c>
      <c r="B116" s="18">
        <v>322.16000000000003</v>
      </c>
      <c r="C116" s="18">
        <v>327.95</v>
      </c>
      <c r="D116" s="18">
        <v>332.36</v>
      </c>
      <c r="E116" s="18">
        <v>317.77999999999997</v>
      </c>
      <c r="F116" s="18" t="s">
        <v>342</v>
      </c>
      <c r="G116" s="18">
        <v>2.9999999999999997E-4</v>
      </c>
      <c r="H116" s="19">
        <v>3.415035502990741E-4</v>
      </c>
      <c r="I116" s="20">
        <v>3.415035502990741E-2</v>
      </c>
      <c r="J116" s="20">
        <f t="shared" si="1"/>
        <v>3.7894312998764364E-3</v>
      </c>
    </row>
    <row r="117" spans="1:10" x14ac:dyDescent="0.35">
      <c r="A117" s="17">
        <v>45831</v>
      </c>
      <c r="B117" s="18">
        <v>348.68</v>
      </c>
      <c r="C117" s="18">
        <v>327.54000000000002</v>
      </c>
      <c r="D117" s="18">
        <v>357.54</v>
      </c>
      <c r="E117" s="18">
        <v>327.48</v>
      </c>
      <c r="F117" s="18" t="s">
        <v>341</v>
      </c>
      <c r="G117" s="18">
        <v>8.2299999999999998E-2</v>
      </c>
      <c r="H117" s="19">
        <v>7.9106279600176424E-2</v>
      </c>
      <c r="I117" s="20">
        <v>7.9106279600176421</v>
      </c>
      <c r="J117" s="20">
        <f t="shared" si="1"/>
        <v>1.9177106302692495</v>
      </c>
    </row>
    <row r="118" spans="1:10" x14ac:dyDescent="0.35">
      <c r="A118" s="17">
        <v>45832</v>
      </c>
      <c r="B118" s="18">
        <v>340.47</v>
      </c>
      <c r="C118" s="18">
        <v>356.17</v>
      </c>
      <c r="D118" s="18">
        <v>356.26</v>
      </c>
      <c r="E118" s="18">
        <v>340.44</v>
      </c>
      <c r="F118" s="18" t="s">
        <v>340</v>
      </c>
      <c r="G118" s="18">
        <v>-2.35E-2</v>
      </c>
      <c r="H118" s="19">
        <v>-2.3827580162217969E-2</v>
      </c>
      <c r="I118" s="20">
        <v>-2.3827580162217972</v>
      </c>
      <c r="J118" s="20">
        <f t="shared" si="1"/>
        <v>-0.58350001452752387</v>
      </c>
    </row>
    <row r="119" spans="1:10" x14ac:dyDescent="0.35">
      <c r="A119" s="17">
        <v>45833</v>
      </c>
      <c r="B119" s="18">
        <v>327.55</v>
      </c>
      <c r="C119" s="18">
        <v>342.7</v>
      </c>
      <c r="D119" s="18">
        <v>343</v>
      </c>
      <c r="E119" s="18">
        <v>320.39999999999998</v>
      </c>
      <c r="F119" s="18" t="s">
        <v>339</v>
      </c>
      <c r="G119" s="18">
        <v>-3.7900000000000003E-2</v>
      </c>
      <c r="H119" s="19">
        <v>-3.8686300803271921E-2</v>
      </c>
      <c r="I119" s="20">
        <v>-3.868630080327192</v>
      </c>
      <c r="J119" s="20">
        <f t="shared" si="1"/>
        <v>-0.94455506794973487</v>
      </c>
    </row>
    <row r="120" spans="1:10" x14ac:dyDescent="0.35">
      <c r="A120" s="17">
        <v>45834</v>
      </c>
      <c r="B120" s="18">
        <v>325.77999999999997</v>
      </c>
      <c r="C120" s="18">
        <v>324.61</v>
      </c>
      <c r="D120" s="18">
        <v>331.05</v>
      </c>
      <c r="E120" s="18">
        <v>323.61</v>
      </c>
      <c r="F120" s="18" t="s">
        <v>338</v>
      </c>
      <c r="G120" s="18">
        <v>-5.4000000000000003E-3</v>
      </c>
      <c r="H120" s="19">
        <v>-5.4184082484264639E-3</v>
      </c>
      <c r="I120" s="20">
        <v>-0.5418408248426464</v>
      </c>
      <c r="J120" s="20">
        <f t="shared" si="1"/>
        <v>-0.1361718286520813</v>
      </c>
    </row>
    <row r="121" spans="1:10" x14ac:dyDescent="0.35">
      <c r="A121" s="17">
        <v>45835</v>
      </c>
      <c r="B121" s="18">
        <v>323.63</v>
      </c>
      <c r="C121" s="18">
        <v>324.51</v>
      </c>
      <c r="D121" s="18">
        <v>329.34</v>
      </c>
      <c r="E121" s="18">
        <v>317.49</v>
      </c>
      <c r="F121" s="18" t="s">
        <v>337</v>
      </c>
      <c r="G121" s="18">
        <v>-6.6E-3</v>
      </c>
      <c r="H121" s="19">
        <v>-6.6214189964193901E-3</v>
      </c>
      <c r="I121" s="20">
        <v>-0.66214189964193904</v>
      </c>
      <c r="J121" s="20">
        <f t="shared" si="1"/>
        <v>-0.16540402975316282</v>
      </c>
    </row>
    <row r="122" spans="1:10" x14ac:dyDescent="0.35">
      <c r="A122" s="17">
        <v>45838</v>
      </c>
      <c r="B122" s="18">
        <v>317.66000000000003</v>
      </c>
      <c r="C122" s="18">
        <v>319.89999999999998</v>
      </c>
      <c r="D122" s="18">
        <v>325.58</v>
      </c>
      <c r="E122" s="18">
        <v>316.60000000000002</v>
      </c>
      <c r="F122" s="18" t="s">
        <v>336</v>
      </c>
      <c r="G122" s="18">
        <v>-1.84E-2</v>
      </c>
      <c r="H122" s="19">
        <v>-1.861925952603043E-2</v>
      </c>
      <c r="I122" s="20">
        <v>-1.8619259526030429</v>
      </c>
      <c r="J122" s="20">
        <f t="shared" si="1"/>
        <v>-0.45694197962221794</v>
      </c>
    </row>
    <row r="123" spans="1:10" x14ac:dyDescent="0.35">
      <c r="A123" s="17">
        <v>45839</v>
      </c>
      <c r="B123" s="18">
        <v>300.70999999999998</v>
      </c>
      <c r="C123" s="18">
        <v>298.45999999999998</v>
      </c>
      <c r="D123" s="18">
        <v>305.89</v>
      </c>
      <c r="E123" s="18">
        <v>293.20999999999998</v>
      </c>
      <c r="F123" s="18" t="s">
        <v>335</v>
      </c>
      <c r="G123" s="18">
        <v>-5.3400000000000003E-2</v>
      </c>
      <c r="H123" s="19">
        <v>-5.4835283228870893E-2</v>
      </c>
      <c r="I123" s="20">
        <v>-5.4835283228870892</v>
      </c>
      <c r="J123" s="20">
        <f t="shared" si="1"/>
        <v>-1.3369624530296529</v>
      </c>
    </row>
    <row r="124" spans="1:10" x14ac:dyDescent="0.35">
      <c r="A124" s="17">
        <v>45840</v>
      </c>
      <c r="B124" s="18">
        <v>315.64999999999998</v>
      </c>
      <c r="C124" s="18">
        <v>312.63</v>
      </c>
      <c r="D124" s="18">
        <v>316.83</v>
      </c>
      <c r="E124" s="18">
        <v>303.82</v>
      </c>
      <c r="F124" s="18" t="s">
        <v>334</v>
      </c>
      <c r="G124" s="18">
        <v>4.9700000000000001E-2</v>
      </c>
      <c r="H124" s="19">
        <v>4.8487659635496408E-2</v>
      </c>
      <c r="I124" s="20">
        <v>4.8487659635496412</v>
      </c>
      <c r="J124" s="20">
        <f t="shared" si="1"/>
        <v>1.173702600633276</v>
      </c>
    </row>
    <row r="125" spans="1:10" x14ac:dyDescent="0.35">
      <c r="A125" s="17">
        <v>45841</v>
      </c>
      <c r="B125" s="18">
        <v>315.35000000000002</v>
      </c>
      <c r="C125" s="18">
        <v>317.99</v>
      </c>
      <c r="D125" s="18">
        <v>318.45</v>
      </c>
      <c r="E125" s="18">
        <v>312.76</v>
      </c>
      <c r="F125" s="18" t="s">
        <v>333</v>
      </c>
      <c r="G125" s="18">
        <v>-1E-3</v>
      </c>
      <c r="H125" s="19">
        <v>-9.5087170397421805E-4</v>
      </c>
      <c r="I125" s="20">
        <v>-9.5087170397421802E-2</v>
      </c>
      <c r="J125" s="20">
        <f t="shared" si="1"/>
        <v>-2.761425598555119E-2</v>
      </c>
    </row>
    <row r="126" spans="1:10" x14ac:dyDescent="0.35">
      <c r="A126" s="17">
        <v>45845</v>
      </c>
      <c r="B126" s="18">
        <v>293.94</v>
      </c>
      <c r="C126" s="18">
        <v>291.37</v>
      </c>
      <c r="D126" s="18">
        <v>296.14999999999998</v>
      </c>
      <c r="E126" s="18">
        <v>288.77</v>
      </c>
      <c r="F126" s="18" t="s">
        <v>332</v>
      </c>
      <c r="G126" s="18">
        <v>-6.7900000000000002E-2</v>
      </c>
      <c r="H126" s="19">
        <v>-7.0307468231121828E-2</v>
      </c>
      <c r="I126" s="20">
        <v>-7.0307468231121826</v>
      </c>
      <c r="J126" s="20">
        <f t="shared" si="1"/>
        <v>-1.7129242008473839</v>
      </c>
    </row>
    <row r="127" spans="1:10" x14ac:dyDescent="0.35">
      <c r="A127" s="17">
        <v>45846</v>
      </c>
      <c r="B127" s="18">
        <v>297.81</v>
      </c>
      <c r="C127" s="18">
        <v>297</v>
      </c>
      <c r="D127" s="18">
        <v>304.05</v>
      </c>
      <c r="E127" s="18">
        <v>294.35000000000002</v>
      </c>
      <c r="F127" s="18" t="s">
        <v>331</v>
      </c>
      <c r="G127" s="18">
        <v>1.32E-2</v>
      </c>
      <c r="H127" s="19">
        <v>1.308003439120165E-2</v>
      </c>
      <c r="I127" s="20">
        <v>1.3080034391201649</v>
      </c>
      <c r="J127" s="20">
        <f t="shared" si="1"/>
        <v>0.31332556461776656</v>
      </c>
    </row>
    <row r="128" spans="1:10" x14ac:dyDescent="0.35">
      <c r="A128" s="17">
        <v>45847</v>
      </c>
      <c r="B128" s="18">
        <v>295.88</v>
      </c>
      <c r="C128" s="18">
        <v>297.55</v>
      </c>
      <c r="D128" s="18">
        <v>300.14999999999998</v>
      </c>
      <c r="E128" s="18">
        <v>293.55</v>
      </c>
      <c r="F128" s="18" t="s">
        <v>330</v>
      </c>
      <c r="G128" s="18">
        <v>-6.4999999999999997E-3</v>
      </c>
      <c r="H128" s="19">
        <v>-6.5017325500732696E-3</v>
      </c>
      <c r="I128" s="20">
        <v>-0.65017325500732703</v>
      </c>
      <c r="J128" s="20">
        <f t="shared" si="1"/>
        <v>-0.16249574462395616</v>
      </c>
    </row>
    <row r="129" spans="1:10" x14ac:dyDescent="0.35">
      <c r="A129" s="17">
        <v>45848</v>
      </c>
      <c r="B129" s="18">
        <v>309.87</v>
      </c>
      <c r="C129" s="18">
        <v>300.05</v>
      </c>
      <c r="D129" s="18">
        <v>310.48</v>
      </c>
      <c r="E129" s="18">
        <v>300</v>
      </c>
      <c r="F129" s="18" t="s">
        <v>329</v>
      </c>
      <c r="G129" s="18">
        <v>4.7300000000000002E-2</v>
      </c>
      <c r="H129" s="19">
        <v>4.6198887966984868E-2</v>
      </c>
      <c r="I129" s="20">
        <v>4.6198887966984872</v>
      </c>
      <c r="J129" s="20">
        <f t="shared" si="1"/>
        <v>1.1180872756663036</v>
      </c>
    </row>
    <row r="130" spans="1:10" x14ac:dyDescent="0.35">
      <c r="A130" s="17">
        <v>45849</v>
      </c>
      <c r="B130" s="18">
        <v>313.51</v>
      </c>
      <c r="C130" s="18">
        <v>307.89</v>
      </c>
      <c r="D130" s="18">
        <v>314.08999999999997</v>
      </c>
      <c r="E130" s="18">
        <v>305.64999999999998</v>
      </c>
      <c r="F130" s="18" t="s">
        <v>328</v>
      </c>
      <c r="G130" s="18">
        <v>1.17E-2</v>
      </c>
      <c r="H130" s="19">
        <v>1.16784028042304E-2</v>
      </c>
      <c r="I130" s="20">
        <v>1.1678402804230399</v>
      </c>
      <c r="J130" s="20">
        <f t="shared" si="1"/>
        <v>0.27926703564092276</v>
      </c>
    </row>
    <row r="131" spans="1:10" x14ac:dyDescent="0.35">
      <c r="A131" s="17">
        <v>45852</v>
      </c>
      <c r="B131" s="18">
        <v>316.89999999999998</v>
      </c>
      <c r="C131" s="18">
        <v>317.73</v>
      </c>
      <c r="D131" s="18">
        <v>322.60000000000002</v>
      </c>
      <c r="E131" s="18">
        <v>312.67</v>
      </c>
      <c r="F131" s="18" t="s">
        <v>327</v>
      </c>
      <c r="G131" s="18">
        <v>1.0800000000000001E-2</v>
      </c>
      <c r="H131" s="19">
        <v>1.075500920599292E-2</v>
      </c>
      <c r="I131" s="20">
        <v>1.075500920599292</v>
      </c>
      <c r="J131" s="20">
        <f t="shared" ref="J131:J194" si="2">(H131-C$227)/C$228</f>
        <v>0.25682930812754562</v>
      </c>
    </row>
    <row r="132" spans="1:10" x14ac:dyDescent="0.35">
      <c r="A132" s="17">
        <v>45853</v>
      </c>
      <c r="B132" s="18">
        <v>310.77999999999997</v>
      </c>
      <c r="C132" s="18">
        <v>319.67</v>
      </c>
      <c r="D132" s="18">
        <v>321.2</v>
      </c>
      <c r="E132" s="18">
        <v>310.5</v>
      </c>
      <c r="F132" s="18" t="s">
        <v>326</v>
      </c>
      <c r="G132" s="18">
        <v>-1.9300000000000001E-2</v>
      </c>
      <c r="H132" s="19">
        <v>-1.9501000338286958E-2</v>
      </c>
      <c r="I132" s="20">
        <v>-1.950100033828696</v>
      </c>
      <c r="J132" s="20">
        <f t="shared" si="2"/>
        <v>-0.47836757767769383</v>
      </c>
    </row>
    <row r="133" spans="1:10" x14ac:dyDescent="0.35">
      <c r="A133" s="17">
        <v>45854</v>
      </c>
      <c r="B133" s="18">
        <v>321.67</v>
      </c>
      <c r="C133" s="18">
        <v>312.8</v>
      </c>
      <c r="D133" s="18">
        <v>323.5</v>
      </c>
      <c r="E133" s="18">
        <v>312.62</v>
      </c>
      <c r="F133" s="18" t="s">
        <v>325</v>
      </c>
      <c r="G133" s="18">
        <v>3.5000000000000003E-2</v>
      </c>
      <c r="H133" s="19">
        <v>3.4440908952896469E-2</v>
      </c>
      <c r="I133" s="20">
        <v>3.444090895289647</v>
      </c>
      <c r="J133" s="20">
        <f t="shared" si="2"/>
        <v>0.83237776920049</v>
      </c>
    </row>
    <row r="134" spans="1:10" x14ac:dyDescent="0.35">
      <c r="A134" s="17">
        <v>45855</v>
      </c>
      <c r="B134" s="18">
        <v>319.41000000000003</v>
      </c>
      <c r="C134" s="18">
        <v>323.14999999999998</v>
      </c>
      <c r="D134" s="18">
        <v>324.33999999999997</v>
      </c>
      <c r="E134" s="18">
        <v>317.06</v>
      </c>
      <c r="F134" s="18" t="s">
        <v>324</v>
      </c>
      <c r="G134" s="18">
        <v>-7.0000000000000001E-3</v>
      </c>
      <c r="H134" s="19">
        <v>-7.0506313168599436E-3</v>
      </c>
      <c r="I134" s="20">
        <v>-0.70506313168599444</v>
      </c>
      <c r="J134" s="20">
        <f t="shared" si="2"/>
        <v>-0.17583354660254502</v>
      </c>
    </row>
    <row r="135" spans="1:10" x14ac:dyDescent="0.35">
      <c r="A135" s="17">
        <v>45856</v>
      </c>
      <c r="B135" s="18">
        <v>329.65</v>
      </c>
      <c r="C135" s="18">
        <v>321.66000000000003</v>
      </c>
      <c r="D135" s="18">
        <v>330.9</v>
      </c>
      <c r="E135" s="18">
        <v>321.42</v>
      </c>
      <c r="F135" s="18" t="s">
        <v>323</v>
      </c>
      <c r="G135" s="18">
        <v>3.2099999999999997E-2</v>
      </c>
      <c r="H135" s="19">
        <v>3.1555941564684047E-2</v>
      </c>
      <c r="I135" s="20">
        <v>3.1555941564684051</v>
      </c>
      <c r="J135" s="20">
        <f t="shared" si="2"/>
        <v>0.7622753640449349</v>
      </c>
    </row>
    <row r="136" spans="1:10" x14ac:dyDescent="0.35">
      <c r="A136" s="17">
        <v>45859</v>
      </c>
      <c r="B136" s="18">
        <v>328.49</v>
      </c>
      <c r="C136" s="18">
        <v>334.4</v>
      </c>
      <c r="D136" s="18">
        <v>338</v>
      </c>
      <c r="E136" s="18">
        <v>326.88</v>
      </c>
      <c r="F136" s="18" t="s">
        <v>322</v>
      </c>
      <c r="G136" s="18">
        <v>-3.5000000000000001E-3</v>
      </c>
      <c r="H136" s="19">
        <v>-3.525089498296656E-3</v>
      </c>
      <c r="I136" s="20">
        <v>-0.35250894982966557</v>
      </c>
      <c r="J136" s="20">
        <f t="shared" si="2"/>
        <v>-9.0165694006500999E-2</v>
      </c>
    </row>
    <row r="137" spans="1:10" x14ac:dyDescent="0.35">
      <c r="A137" s="17">
        <v>45860</v>
      </c>
      <c r="B137" s="18">
        <v>332.11</v>
      </c>
      <c r="C137" s="18">
        <v>329.74</v>
      </c>
      <c r="D137" s="18">
        <v>335.41</v>
      </c>
      <c r="E137" s="18">
        <v>321.55</v>
      </c>
      <c r="F137" s="18" t="s">
        <v>321</v>
      </c>
      <c r="G137" s="18">
        <v>1.0999999999999999E-2</v>
      </c>
      <c r="H137" s="19">
        <v>1.095984328057463E-2</v>
      </c>
      <c r="I137" s="20">
        <v>1.095984328057463</v>
      </c>
      <c r="J137" s="20">
        <f t="shared" si="2"/>
        <v>0.26180661266993333</v>
      </c>
    </row>
    <row r="138" spans="1:10" x14ac:dyDescent="0.35">
      <c r="A138" s="17">
        <v>45861</v>
      </c>
      <c r="B138" s="18">
        <v>332.56</v>
      </c>
      <c r="C138" s="18">
        <v>330.9</v>
      </c>
      <c r="D138" s="18">
        <v>336.2</v>
      </c>
      <c r="E138" s="18">
        <v>328.67</v>
      </c>
      <c r="F138" s="18" t="s">
        <v>320</v>
      </c>
      <c r="G138" s="18">
        <v>1.4E-3</v>
      </c>
      <c r="H138" s="19">
        <v>1.3540556027952951E-3</v>
      </c>
      <c r="I138" s="20">
        <v>0.13540556027952949</v>
      </c>
      <c r="J138" s="20">
        <f t="shared" si="2"/>
        <v>2.8393638097916132E-2</v>
      </c>
    </row>
    <row r="139" spans="1:10" x14ac:dyDescent="0.35">
      <c r="A139" s="17">
        <v>45862</v>
      </c>
      <c r="B139" s="18">
        <v>305.3</v>
      </c>
      <c r="C139" s="18">
        <v>310</v>
      </c>
      <c r="D139" s="18">
        <v>310.14999999999998</v>
      </c>
      <c r="E139" s="18">
        <v>300.41000000000003</v>
      </c>
      <c r="F139" s="18" t="s">
        <v>319</v>
      </c>
      <c r="G139" s="18">
        <v>-8.2000000000000003E-2</v>
      </c>
      <c r="H139" s="19">
        <v>-8.5525395203549792E-2</v>
      </c>
      <c r="I139" s="20">
        <v>-8.5525395203549799</v>
      </c>
      <c r="J139" s="20">
        <f t="shared" si="2"/>
        <v>-2.0827076814536625</v>
      </c>
    </row>
    <row r="140" spans="1:10" x14ac:dyDescent="0.35">
      <c r="A140" s="17">
        <v>45863</v>
      </c>
      <c r="B140" s="18">
        <v>316.06</v>
      </c>
      <c r="C140" s="18">
        <v>308.74</v>
      </c>
      <c r="D140" s="18">
        <v>323.63</v>
      </c>
      <c r="E140" s="18">
        <v>308.01</v>
      </c>
      <c r="F140" s="18" t="s">
        <v>318</v>
      </c>
      <c r="G140" s="18">
        <v>3.5200000000000002E-2</v>
      </c>
      <c r="H140" s="19">
        <v>3.4637169240125408E-2</v>
      </c>
      <c r="I140" s="20">
        <v>3.4637169240125409</v>
      </c>
      <c r="J140" s="20">
        <f t="shared" si="2"/>
        <v>0.83714673755260482</v>
      </c>
    </row>
    <row r="141" spans="1:10" x14ac:dyDescent="0.35">
      <c r="A141" s="17">
        <v>45866</v>
      </c>
      <c r="B141" s="18">
        <v>325.58999999999997</v>
      </c>
      <c r="C141" s="18">
        <v>318.45</v>
      </c>
      <c r="D141" s="18">
        <v>330.49</v>
      </c>
      <c r="E141" s="18">
        <v>315.69</v>
      </c>
      <c r="F141" s="18" t="s">
        <v>317</v>
      </c>
      <c r="G141" s="18">
        <v>3.0200000000000001E-2</v>
      </c>
      <c r="H141" s="19">
        <v>2.9706852145075562E-2</v>
      </c>
      <c r="I141" s="20">
        <v>2.9706852145075562</v>
      </c>
      <c r="J141" s="20">
        <f t="shared" si="2"/>
        <v>0.71734396683334889</v>
      </c>
    </row>
    <row r="142" spans="1:10" x14ac:dyDescent="0.35">
      <c r="A142" s="17">
        <v>45867</v>
      </c>
      <c r="B142" s="18">
        <v>321.2</v>
      </c>
      <c r="C142" s="18">
        <v>325.55</v>
      </c>
      <c r="D142" s="18">
        <v>326.25</v>
      </c>
      <c r="E142" s="18">
        <v>318.25</v>
      </c>
      <c r="F142" s="18" t="s">
        <v>316</v>
      </c>
      <c r="G142" s="18">
        <v>-1.35E-2</v>
      </c>
      <c r="H142" s="19">
        <v>-1.357493905342657E-2</v>
      </c>
      <c r="I142" s="20">
        <v>-1.3574939053426569</v>
      </c>
      <c r="J142" s="20">
        <f t="shared" si="2"/>
        <v>-0.33436901780997186</v>
      </c>
    </row>
    <row r="143" spans="1:10" x14ac:dyDescent="0.35">
      <c r="A143" s="17">
        <v>45868</v>
      </c>
      <c r="B143" s="18">
        <v>319.04000000000002</v>
      </c>
      <c r="C143" s="18">
        <v>322.18</v>
      </c>
      <c r="D143" s="18">
        <v>324.45</v>
      </c>
      <c r="E143" s="18">
        <v>311.62</v>
      </c>
      <c r="F143" s="18" t="s">
        <v>315</v>
      </c>
      <c r="G143" s="18">
        <v>-6.7000000000000002E-3</v>
      </c>
      <c r="H143" s="19">
        <v>-6.7474952991329693E-3</v>
      </c>
      <c r="I143" s="20">
        <v>-0.67474952991329695</v>
      </c>
      <c r="J143" s="20">
        <f t="shared" si="2"/>
        <v>-0.16846758329260789</v>
      </c>
    </row>
    <row r="144" spans="1:10" x14ac:dyDescent="0.35">
      <c r="A144" s="17">
        <v>45869</v>
      </c>
      <c r="B144" s="18">
        <v>308.27</v>
      </c>
      <c r="C144" s="18">
        <v>319.61</v>
      </c>
      <c r="D144" s="18">
        <v>321.37</v>
      </c>
      <c r="E144" s="18">
        <v>306.10000000000002</v>
      </c>
      <c r="F144" s="18" t="s">
        <v>314</v>
      </c>
      <c r="G144" s="18">
        <v>-3.3799999999999997E-2</v>
      </c>
      <c r="H144" s="19">
        <v>-3.4340464433143078E-2</v>
      </c>
      <c r="I144" s="20">
        <v>-3.4340464433143079</v>
      </c>
      <c r="J144" s="20">
        <f t="shared" si="2"/>
        <v>-0.83895471239518293</v>
      </c>
    </row>
    <row r="145" spans="1:10" x14ac:dyDescent="0.35">
      <c r="A145" s="17">
        <v>45870</v>
      </c>
      <c r="B145" s="18">
        <v>302.63</v>
      </c>
      <c r="C145" s="18">
        <v>306.2</v>
      </c>
      <c r="D145" s="18">
        <v>309.31</v>
      </c>
      <c r="E145" s="18">
        <v>297.82</v>
      </c>
      <c r="F145" s="18" t="s">
        <v>313</v>
      </c>
      <c r="G145" s="18">
        <v>-1.83E-2</v>
      </c>
      <c r="H145" s="19">
        <v>-1.8465085120289871E-2</v>
      </c>
      <c r="I145" s="20">
        <v>-1.846508512028987</v>
      </c>
      <c r="J145" s="20">
        <f t="shared" si="2"/>
        <v>-0.45319566460319849</v>
      </c>
    </row>
    <row r="146" spans="1:10" x14ac:dyDescent="0.35">
      <c r="A146" s="17">
        <v>45873</v>
      </c>
      <c r="B146" s="18">
        <v>309.26</v>
      </c>
      <c r="C146" s="18">
        <v>309.08</v>
      </c>
      <c r="D146" s="18">
        <v>312.12</v>
      </c>
      <c r="E146" s="18">
        <v>303</v>
      </c>
      <c r="F146" s="18" t="s">
        <v>312</v>
      </c>
      <c r="G146" s="18">
        <v>2.1899999999999999E-2</v>
      </c>
      <c r="H146" s="19">
        <v>2.1671409827243679E-2</v>
      </c>
      <c r="I146" s="20">
        <v>2.1671409827243679</v>
      </c>
      <c r="J146" s="20">
        <f t="shared" si="2"/>
        <v>0.52208913127772894</v>
      </c>
    </row>
    <row r="147" spans="1:10" x14ac:dyDescent="0.35">
      <c r="A147" s="17">
        <v>45874</v>
      </c>
      <c r="B147" s="18">
        <v>308.72000000000003</v>
      </c>
      <c r="C147" s="18">
        <v>308.95</v>
      </c>
      <c r="D147" s="18">
        <v>312.45</v>
      </c>
      <c r="E147" s="18">
        <v>305.5</v>
      </c>
      <c r="F147" s="18" t="s">
        <v>311</v>
      </c>
      <c r="G147" s="18">
        <v>-1.6999999999999999E-3</v>
      </c>
      <c r="H147" s="19">
        <v>-1.747629817921042E-3</v>
      </c>
      <c r="I147" s="20">
        <v>-0.17476298179210409</v>
      </c>
      <c r="J147" s="20">
        <f t="shared" si="2"/>
        <v>-4.6974842293420929E-2</v>
      </c>
    </row>
    <row r="148" spans="1:10" x14ac:dyDescent="0.35">
      <c r="A148" s="17">
        <v>45875</v>
      </c>
      <c r="B148" s="18">
        <v>319.91000000000003</v>
      </c>
      <c r="C148" s="18">
        <v>307.89</v>
      </c>
      <c r="D148" s="18">
        <v>320.47000000000003</v>
      </c>
      <c r="E148" s="18">
        <v>306.93</v>
      </c>
      <c r="F148" s="18" t="s">
        <v>310</v>
      </c>
      <c r="G148" s="18">
        <v>3.6200000000000003E-2</v>
      </c>
      <c r="H148" s="19">
        <v>3.5604989006210411E-2</v>
      </c>
      <c r="I148" s="20">
        <v>3.5604989006210408</v>
      </c>
      <c r="J148" s="20">
        <f t="shared" si="2"/>
        <v>0.86066398548991496</v>
      </c>
    </row>
    <row r="149" spans="1:10" x14ac:dyDescent="0.35">
      <c r="A149" s="17">
        <v>45876</v>
      </c>
      <c r="B149" s="18">
        <v>322.27</v>
      </c>
      <c r="C149" s="18">
        <v>319.79000000000002</v>
      </c>
      <c r="D149" s="18">
        <v>322.39999999999998</v>
      </c>
      <c r="E149" s="18">
        <v>316.16000000000003</v>
      </c>
      <c r="F149" s="18" t="s">
        <v>309</v>
      </c>
      <c r="G149" s="18">
        <v>7.4000000000000003E-3</v>
      </c>
      <c r="H149" s="19">
        <v>7.3499972730621923E-3</v>
      </c>
      <c r="I149" s="20">
        <v>0.73499972730621921</v>
      </c>
      <c r="J149" s="20">
        <f t="shared" si="2"/>
        <v>0.17409023556225331</v>
      </c>
    </row>
    <row r="150" spans="1:10" x14ac:dyDescent="0.35">
      <c r="A150" s="17">
        <v>45877</v>
      </c>
      <c r="B150" s="18">
        <v>329.65</v>
      </c>
      <c r="C150" s="18">
        <v>321.43</v>
      </c>
      <c r="D150" s="18">
        <v>335.15</v>
      </c>
      <c r="E150" s="18">
        <v>320.98</v>
      </c>
      <c r="F150" s="18" t="s">
        <v>308</v>
      </c>
      <c r="G150" s="18">
        <v>2.29E-2</v>
      </c>
      <c r="H150" s="19">
        <v>2.264178205067275E-2</v>
      </c>
      <c r="I150" s="20">
        <v>2.264178205067275</v>
      </c>
      <c r="J150" s="20">
        <f t="shared" si="2"/>
        <v>0.54566840189148491</v>
      </c>
    </row>
    <row r="151" spans="1:10" x14ac:dyDescent="0.35">
      <c r="A151" s="17">
        <v>45880</v>
      </c>
      <c r="B151" s="18">
        <v>339.03</v>
      </c>
      <c r="C151" s="18">
        <v>335</v>
      </c>
      <c r="D151" s="18">
        <v>346.64</v>
      </c>
      <c r="E151" s="18">
        <v>334.15</v>
      </c>
      <c r="F151" s="18" t="s">
        <v>307</v>
      </c>
      <c r="G151" s="18">
        <v>2.8500000000000001E-2</v>
      </c>
      <c r="H151" s="19">
        <v>2.805711348086044E-2</v>
      </c>
      <c r="I151" s="20">
        <v>2.8057113480860441</v>
      </c>
      <c r="J151" s="20">
        <f t="shared" si="2"/>
        <v>0.67725663388389334</v>
      </c>
    </row>
    <row r="152" spans="1:10" x14ac:dyDescent="0.35">
      <c r="A152" s="17">
        <v>45881</v>
      </c>
      <c r="B152" s="18">
        <v>340.84</v>
      </c>
      <c r="C152" s="18">
        <v>345</v>
      </c>
      <c r="D152" s="18">
        <v>345.26</v>
      </c>
      <c r="E152" s="18">
        <v>332.94</v>
      </c>
      <c r="F152" s="18" t="s">
        <v>240</v>
      </c>
      <c r="G152" s="18">
        <v>5.3E-3</v>
      </c>
      <c r="H152" s="19">
        <v>5.324559919586188E-3</v>
      </c>
      <c r="I152" s="20">
        <v>0.53245599195861881</v>
      </c>
      <c r="J152" s="20">
        <f t="shared" si="2"/>
        <v>0.12487372429397574</v>
      </c>
    </row>
    <row r="153" spans="1:10" x14ac:dyDescent="0.35">
      <c r="A153" s="17">
        <v>45882</v>
      </c>
      <c r="B153" s="18">
        <v>339.38</v>
      </c>
      <c r="C153" s="18">
        <v>341.5</v>
      </c>
      <c r="D153" s="18">
        <v>348.98</v>
      </c>
      <c r="E153" s="18">
        <v>338.2</v>
      </c>
      <c r="F153" s="18" t="s">
        <v>306</v>
      </c>
      <c r="G153" s="18">
        <v>-4.3E-3</v>
      </c>
      <c r="H153" s="19">
        <v>-4.2927354150751086E-3</v>
      </c>
      <c r="I153" s="20">
        <v>-0.42927354150751101</v>
      </c>
      <c r="J153" s="20">
        <f t="shared" si="2"/>
        <v>-0.1088188771564688</v>
      </c>
    </row>
    <row r="154" spans="1:10" x14ac:dyDescent="0.35">
      <c r="A154" s="17">
        <v>45883</v>
      </c>
      <c r="B154" s="18">
        <v>335.58</v>
      </c>
      <c r="C154" s="18">
        <v>335.76</v>
      </c>
      <c r="D154" s="18">
        <v>340.47</v>
      </c>
      <c r="E154" s="18">
        <v>330.4</v>
      </c>
      <c r="F154" s="18" t="s">
        <v>305</v>
      </c>
      <c r="G154" s="18">
        <v>-1.12E-2</v>
      </c>
      <c r="H154" s="19">
        <v>-1.126004548312845E-2</v>
      </c>
      <c r="I154" s="20">
        <v>-1.1260045483128449</v>
      </c>
      <c r="J154" s="20">
        <f t="shared" si="2"/>
        <v>-0.27811895147643889</v>
      </c>
    </row>
    <row r="155" spans="1:10" x14ac:dyDescent="0.35">
      <c r="A155" s="17">
        <v>45884</v>
      </c>
      <c r="B155" s="18">
        <v>330.56</v>
      </c>
      <c r="C155" s="18">
        <v>337.65</v>
      </c>
      <c r="D155" s="18">
        <v>339.3</v>
      </c>
      <c r="E155" s="18">
        <v>327.02</v>
      </c>
      <c r="F155" s="18" t="s">
        <v>304</v>
      </c>
      <c r="G155" s="18">
        <v>-1.4999999999999999E-2</v>
      </c>
      <c r="H155" s="19">
        <v>-1.507219213027787E-2</v>
      </c>
      <c r="I155" s="20">
        <v>-1.5072192130277871</v>
      </c>
      <c r="J155" s="20">
        <f t="shared" si="2"/>
        <v>-0.37075107267918378</v>
      </c>
    </row>
    <row r="156" spans="1:10" x14ac:dyDescent="0.35">
      <c r="A156" s="17">
        <v>45887</v>
      </c>
      <c r="B156" s="18">
        <v>335.16</v>
      </c>
      <c r="C156" s="18">
        <v>329.62</v>
      </c>
      <c r="D156" s="18">
        <v>336.27</v>
      </c>
      <c r="E156" s="18">
        <v>329.59</v>
      </c>
      <c r="F156" s="18" t="s">
        <v>303</v>
      </c>
      <c r="G156" s="18">
        <v>1.3899999999999999E-2</v>
      </c>
      <c r="H156" s="19">
        <v>1.3819843813812051E-2</v>
      </c>
      <c r="I156" s="20">
        <v>1.3819843813812049</v>
      </c>
      <c r="J156" s="20">
        <f t="shared" si="2"/>
        <v>0.33130234317465224</v>
      </c>
    </row>
    <row r="157" spans="1:10" x14ac:dyDescent="0.35">
      <c r="A157" s="17">
        <v>45888</v>
      </c>
      <c r="B157" s="18">
        <v>329.31</v>
      </c>
      <c r="C157" s="18">
        <v>335.79</v>
      </c>
      <c r="D157" s="18">
        <v>340.55</v>
      </c>
      <c r="E157" s="18">
        <v>327.85</v>
      </c>
      <c r="F157" s="18" t="s">
        <v>302</v>
      </c>
      <c r="G157" s="18">
        <v>-1.7500000000000002E-2</v>
      </c>
      <c r="H157" s="19">
        <v>-1.760847337775099E-2</v>
      </c>
      <c r="I157" s="20">
        <v>-1.7608473377750991</v>
      </c>
      <c r="J157" s="20">
        <f t="shared" si="2"/>
        <v>-0.43238068288734793</v>
      </c>
    </row>
    <row r="158" spans="1:10" x14ac:dyDescent="0.35">
      <c r="A158" s="17">
        <v>45889</v>
      </c>
      <c r="B158" s="18">
        <v>323.89999999999998</v>
      </c>
      <c r="C158" s="18">
        <v>329.22</v>
      </c>
      <c r="D158" s="18">
        <v>331.37</v>
      </c>
      <c r="E158" s="18">
        <v>314.60000000000002</v>
      </c>
      <c r="F158" s="18" t="s">
        <v>301</v>
      </c>
      <c r="G158" s="18">
        <v>-1.6400000000000001E-2</v>
      </c>
      <c r="H158" s="19">
        <v>-1.6564730190051311E-2</v>
      </c>
      <c r="I158" s="20">
        <v>-1.656473019005132</v>
      </c>
      <c r="J158" s="20">
        <f t="shared" si="2"/>
        <v>-0.40701855639627166</v>
      </c>
    </row>
    <row r="159" spans="1:10" x14ac:dyDescent="0.35">
      <c r="A159" s="17">
        <v>45890</v>
      </c>
      <c r="B159" s="18">
        <v>320.11</v>
      </c>
      <c r="C159" s="18">
        <v>322.08</v>
      </c>
      <c r="D159" s="18">
        <v>324.89999999999998</v>
      </c>
      <c r="E159" s="18">
        <v>318.68</v>
      </c>
      <c r="F159" s="18" t="s">
        <v>300</v>
      </c>
      <c r="G159" s="18">
        <v>-1.17E-2</v>
      </c>
      <c r="H159" s="19">
        <v>-1.17701394520064E-2</v>
      </c>
      <c r="I159" s="20">
        <v>-1.1770139452006401</v>
      </c>
      <c r="J159" s="20">
        <f t="shared" si="2"/>
        <v>-0.29051382783441532</v>
      </c>
    </row>
    <row r="160" spans="1:10" x14ac:dyDescent="0.35">
      <c r="A160" s="17">
        <v>45891</v>
      </c>
      <c r="B160" s="18">
        <v>340.01</v>
      </c>
      <c r="C160" s="18">
        <v>321.66000000000003</v>
      </c>
      <c r="D160" s="18">
        <v>340.25</v>
      </c>
      <c r="E160" s="18">
        <v>319.69</v>
      </c>
      <c r="F160" s="18" t="s">
        <v>299</v>
      </c>
      <c r="G160" s="18">
        <v>6.2199999999999998E-2</v>
      </c>
      <c r="H160" s="19">
        <v>6.0310342217118333E-2</v>
      </c>
      <c r="I160" s="20">
        <v>6.0310342217118329</v>
      </c>
      <c r="J160" s="20">
        <f t="shared" si="2"/>
        <v>1.4609843521528043</v>
      </c>
    </row>
    <row r="161" spans="1:10" x14ac:dyDescent="0.35">
      <c r="A161" s="17">
        <v>45894</v>
      </c>
      <c r="B161" s="18">
        <v>346.6</v>
      </c>
      <c r="C161" s="18">
        <v>338.9</v>
      </c>
      <c r="D161" s="18">
        <v>349.53</v>
      </c>
      <c r="E161" s="18">
        <v>335.03</v>
      </c>
      <c r="F161" s="18" t="s">
        <v>298</v>
      </c>
      <c r="G161" s="18">
        <v>1.9400000000000001E-2</v>
      </c>
      <c r="H161" s="19">
        <v>1.9196348339110249E-2</v>
      </c>
      <c r="I161" s="20">
        <v>1.919634833911025</v>
      </c>
      <c r="J161" s="20">
        <f t="shared" si="2"/>
        <v>0.46194711236445829</v>
      </c>
    </row>
    <row r="162" spans="1:10" x14ac:dyDescent="0.35">
      <c r="A162" s="17">
        <v>45895</v>
      </c>
      <c r="B162" s="18">
        <v>351.67</v>
      </c>
      <c r="C162" s="18">
        <v>344.93</v>
      </c>
      <c r="D162" s="18">
        <v>351.9</v>
      </c>
      <c r="E162" s="18">
        <v>343.72</v>
      </c>
      <c r="F162" s="18" t="s">
        <v>297</v>
      </c>
      <c r="G162" s="18">
        <v>1.46E-2</v>
      </c>
      <c r="H162" s="19">
        <v>1.452185858861489E-2</v>
      </c>
      <c r="I162" s="20">
        <v>1.4521858588614891</v>
      </c>
      <c r="J162" s="20">
        <f t="shared" si="2"/>
        <v>0.348360741952223</v>
      </c>
    </row>
    <row r="163" spans="1:10" x14ac:dyDescent="0.35">
      <c r="A163" s="17">
        <v>45896</v>
      </c>
      <c r="B163" s="18">
        <v>349.6</v>
      </c>
      <c r="C163" s="18">
        <v>351.94</v>
      </c>
      <c r="D163" s="18">
        <v>355.39</v>
      </c>
      <c r="E163" s="18">
        <v>349.16</v>
      </c>
      <c r="F163" s="18" t="s">
        <v>296</v>
      </c>
      <c r="G163" s="18">
        <v>-5.8999999999999999E-3</v>
      </c>
      <c r="H163" s="19">
        <v>-5.9035920887402123E-3</v>
      </c>
      <c r="I163" s="20">
        <v>-0.59035920887402127</v>
      </c>
      <c r="J163" s="20">
        <f t="shared" si="2"/>
        <v>-0.14796140876573288</v>
      </c>
    </row>
    <row r="164" spans="1:10" x14ac:dyDescent="0.35">
      <c r="A164" s="17">
        <v>45897</v>
      </c>
      <c r="B164" s="18">
        <v>345.98</v>
      </c>
      <c r="C164" s="18">
        <v>350.91</v>
      </c>
      <c r="D164" s="18">
        <v>353.55</v>
      </c>
      <c r="E164" s="18">
        <v>340.26</v>
      </c>
      <c r="F164" s="18" t="s">
        <v>295</v>
      </c>
      <c r="G164" s="18">
        <v>-1.04E-2</v>
      </c>
      <c r="H164" s="19">
        <v>-1.040867386254911E-2</v>
      </c>
      <c r="I164" s="20">
        <v>-1.04086738625491</v>
      </c>
      <c r="J164" s="20">
        <f t="shared" si="2"/>
        <v>-0.25743130054227181</v>
      </c>
    </row>
    <row r="165" spans="1:10" x14ac:dyDescent="0.35">
      <c r="A165" s="17">
        <v>45898</v>
      </c>
      <c r="B165" s="18">
        <v>333.87</v>
      </c>
      <c r="C165" s="18">
        <v>347.23</v>
      </c>
      <c r="D165" s="18">
        <v>348.75</v>
      </c>
      <c r="E165" s="18">
        <v>331.7</v>
      </c>
      <c r="F165" s="18" t="s">
        <v>294</v>
      </c>
      <c r="G165" s="18">
        <v>-3.5000000000000003E-2</v>
      </c>
      <c r="H165" s="19">
        <v>-3.5629274265387957E-2</v>
      </c>
      <c r="I165" s="20">
        <v>-3.562927426538796</v>
      </c>
      <c r="J165" s="20">
        <f t="shared" si="2"/>
        <v>-0.87027176277074203</v>
      </c>
    </row>
    <row r="166" spans="1:10" x14ac:dyDescent="0.35">
      <c r="A166" s="17">
        <v>45902</v>
      </c>
      <c r="B166" s="18">
        <v>329.36</v>
      </c>
      <c r="C166" s="18">
        <v>328.23</v>
      </c>
      <c r="D166" s="18">
        <v>333.33</v>
      </c>
      <c r="E166" s="18">
        <v>325.60000000000002</v>
      </c>
      <c r="F166" s="18" t="s">
        <v>293</v>
      </c>
      <c r="G166" s="18">
        <v>-1.35E-2</v>
      </c>
      <c r="H166" s="19">
        <v>-1.3600318191794161E-2</v>
      </c>
      <c r="I166" s="20">
        <v>-1.360031819179417</v>
      </c>
      <c r="J166" s="20">
        <f t="shared" si="2"/>
        <v>-0.33498571061822097</v>
      </c>
    </row>
    <row r="167" spans="1:10" x14ac:dyDescent="0.35">
      <c r="A167" s="17">
        <v>45903</v>
      </c>
      <c r="B167" s="18">
        <v>334.09</v>
      </c>
      <c r="C167" s="18">
        <v>335.2</v>
      </c>
      <c r="D167" s="18">
        <v>343.33</v>
      </c>
      <c r="E167" s="18">
        <v>328.51</v>
      </c>
      <c r="F167" s="18" t="s">
        <v>292</v>
      </c>
      <c r="G167" s="18">
        <v>1.44E-2</v>
      </c>
      <c r="H167" s="19">
        <v>1.425904029477958E-2</v>
      </c>
      <c r="I167" s="20">
        <v>1.4259040294779579</v>
      </c>
      <c r="J167" s="20">
        <f t="shared" si="2"/>
        <v>0.34197446715687752</v>
      </c>
    </row>
    <row r="168" spans="1:10" x14ac:dyDescent="0.35">
      <c r="A168" s="17">
        <v>45904</v>
      </c>
      <c r="B168" s="18">
        <v>338.53</v>
      </c>
      <c r="C168" s="18">
        <v>336.15</v>
      </c>
      <c r="D168" s="18">
        <v>338.89</v>
      </c>
      <c r="E168" s="18">
        <v>331.48</v>
      </c>
      <c r="F168" s="18" t="s">
        <v>291</v>
      </c>
      <c r="G168" s="18">
        <v>1.3299999999999999E-2</v>
      </c>
      <c r="H168" s="19">
        <v>1.320229696128955E-2</v>
      </c>
      <c r="I168" s="20">
        <v>1.320229696128955</v>
      </c>
      <c r="J168" s="20">
        <f t="shared" si="2"/>
        <v>0.31629644749799629</v>
      </c>
    </row>
    <row r="169" spans="1:10" x14ac:dyDescent="0.35">
      <c r="A169" s="17">
        <v>45905</v>
      </c>
      <c r="B169" s="18">
        <v>350.84</v>
      </c>
      <c r="C169" s="18">
        <v>348</v>
      </c>
      <c r="D169" s="18">
        <v>355.87</v>
      </c>
      <c r="E169" s="18">
        <v>344.68</v>
      </c>
      <c r="F169" s="18" t="s">
        <v>290</v>
      </c>
      <c r="G169" s="18">
        <v>3.6400000000000002E-2</v>
      </c>
      <c r="H169" s="19">
        <v>3.5717564365462209E-2</v>
      </c>
      <c r="I169" s="20">
        <v>3.5717564365462211</v>
      </c>
      <c r="J169" s="20">
        <f t="shared" si="2"/>
        <v>0.86339947687780605</v>
      </c>
    </row>
    <row r="170" spans="1:10" x14ac:dyDescent="0.35">
      <c r="A170" s="17">
        <v>45908</v>
      </c>
      <c r="B170" s="18">
        <v>346.4</v>
      </c>
      <c r="C170" s="18">
        <v>354.64</v>
      </c>
      <c r="D170" s="18">
        <v>358.44</v>
      </c>
      <c r="E170" s="18">
        <v>344.84</v>
      </c>
      <c r="F170" s="18" t="s">
        <v>289</v>
      </c>
      <c r="G170" s="18">
        <v>-1.2699999999999999E-2</v>
      </c>
      <c r="H170" s="19">
        <v>-1.273610239490075E-2</v>
      </c>
      <c r="I170" s="20">
        <v>-1.273610239490075</v>
      </c>
      <c r="J170" s="20">
        <f t="shared" si="2"/>
        <v>-0.31398595645004945</v>
      </c>
    </row>
    <row r="171" spans="1:10" x14ac:dyDescent="0.35">
      <c r="A171" s="17">
        <v>45909</v>
      </c>
      <c r="B171" s="18">
        <v>346.97</v>
      </c>
      <c r="C171" s="18">
        <v>348.44</v>
      </c>
      <c r="D171" s="18">
        <v>350.77</v>
      </c>
      <c r="E171" s="18">
        <v>343.82</v>
      </c>
      <c r="F171" s="18" t="s">
        <v>288</v>
      </c>
      <c r="G171" s="18">
        <v>1.6000000000000001E-3</v>
      </c>
      <c r="H171" s="19">
        <v>1.6441441896894681E-3</v>
      </c>
      <c r="I171" s="20">
        <v>0.16441441896894679</v>
      </c>
      <c r="J171" s="20">
        <f t="shared" si="2"/>
        <v>3.5442559251253065E-2</v>
      </c>
    </row>
    <row r="172" spans="1:10" x14ac:dyDescent="0.35">
      <c r="A172" s="17">
        <v>45910</v>
      </c>
      <c r="B172" s="18">
        <v>347.79</v>
      </c>
      <c r="C172" s="18">
        <v>350.55</v>
      </c>
      <c r="D172" s="18">
        <v>356.33</v>
      </c>
      <c r="E172" s="18">
        <v>346.07</v>
      </c>
      <c r="F172" s="18" t="s">
        <v>287</v>
      </c>
      <c r="G172" s="18">
        <v>2.3999999999999998E-3</v>
      </c>
      <c r="H172" s="19">
        <v>2.3605284724501352E-3</v>
      </c>
      <c r="I172" s="20">
        <v>0.23605284724501349</v>
      </c>
      <c r="J172" s="20">
        <f t="shared" si="2"/>
        <v>5.2850125604464906E-2</v>
      </c>
    </row>
    <row r="173" spans="1:10" x14ac:dyDescent="0.35">
      <c r="A173" s="17">
        <v>45911</v>
      </c>
      <c r="B173" s="18">
        <v>368.81</v>
      </c>
      <c r="C173" s="18">
        <v>350.17</v>
      </c>
      <c r="D173" s="18">
        <v>368.99</v>
      </c>
      <c r="E173" s="18">
        <v>347.6</v>
      </c>
      <c r="F173" s="18" t="s">
        <v>286</v>
      </c>
      <c r="G173" s="18">
        <v>6.0400000000000002E-2</v>
      </c>
      <c r="H173" s="19">
        <v>5.8682756931876877E-2</v>
      </c>
      <c r="I173" s="20">
        <v>5.8682756931876883</v>
      </c>
      <c r="J173" s="20">
        <f t="shared" si="2"/>
        <v>1.421435328632676</v>
      </c>
    </row>
    <row r="174" spans="1:10" x14ac:dyDescent="0.35">
      <c r="A174" s="17">
        <v>45912</v>
      </c>
      <c r="B174" s="18">
        <v>395.94</v>
      </c>
      <c r="C174" s="18">
        <v>370.94</v>
      </c>
      <c r="D174" s="18">
        <v>396.69</v>
      </c>
      <c r="E174" s="18">
        <v>370.24</v>
      </c>
      <c r="F174" s="18" t="s">
        <v>285</v>
      </c>
      <c r="G174" s="18">
        <v>7.3599999999999999E-2</v>
      </c>
      <c r="H174" s="19">
        <v>7.0981078341088466E-2</v>
      </c>
      <c r="I174" s="20">
        <v>7.0981078341088466</v>
      </c>
      <c r="J174" s="20">
        <f t="shared" si="2"/>
        <v>1.7202747240741565</v>
      </c>
    </row>
    <row r="175" spans="1:10" x14ac:dyDescent="0.35">
      <c r="A175" s="17">
        <v>45915</v>
      </c>
      <c r="B175" s="18">
        <v>410.04</v>
      </c>
      <c r="C175" s="18">
        <v>423.13</v>
      </c>
      <c r="D175" s="18">
        <v>425.7</v>
      </c>
      <c r="E175" s="18">
        <v>402.43</v>
      </c>
      <c r="F175" s="18" t="s">
        <v>284</v>
      </c>
      <c r="G175" s="18">
        <v>3.56E-2</v>
      </c>
      <c r="H175" s="19">
        <v>3.4992031291815613E-2</v>
      </c>
      <c r="I175" s="20">
        <v>3.499203129181562</v>
      </c>
      <c r="J175" s="20">
        <f t="shared" si="2"/>
        <v>0.84576960220735309</v>
      </c>
    </row>
    <row r="176" spans="1:10" x14ac:dyDescent="0.35">
      <c r="A176" s="17">
        <v>45916</v>
      </c>
      <c r="B176" s="18">
        <v>421.62</v>
      </c>
      <c r="C176" s="18">
        <v>414.49</v>
      </c>
      <c r="D176" s="18">
        <v>423.25</v>
      </c>
      <c r="E176" s="18">
        <v>411.43</v>
      </c>
      <c r="F176" s="18" t="s">
        <v>283</v>
      </c>
      <c r="G176" s="18">
        <v>2.8199999999999999E-2</v>
      </c>
      <c r="H176" s="19">
        <v>2.784971851696055E-2</v>
      </c>
      <c r="I176" s="20">
        <v>2.784971851696056</v>
      </c>
      <c r="J176" s="20">
        <f t="shared" si="2"/>
        <v>0.67221710177481797</v>
      </c>
    </row>
    <row r="177" spans="1:10" x14ac:dyDescent="0.35">
      <c r="A177" s="17">
        <v>45917</v>
      </c>
      <c r="B177" s="18">
        <v>425.86</v>
      </c>
      <c r="C177" s="18">
        <v>415.75</v>
      </c>
      <c r="D177" s="18">
        <v>428.31</v>
      </c>
      <c r="E177" s="18">
        <v>409.67</v>
      </c>
      <c r="F177" s="18" t="s">
        <v>282</v>
      </c>
      <c r="G177" s="18">
        <v>1.01E-2</v>
      </c>
      <c r="H177" s="19">
        <v>1.0006219326091239E-2</v>
      </c>
      <c r="I177" s="20">
        <v>1.0006219326091239</v>
      </c>
      <c r="J177" s="20">
        <f t="shared" si="2"/>
        <v>0.23863431162542847</v>
      </c>
    </row>
    <row r="178" spans="1:10" x14ac:dyDescent="0.35">
      <c r="A178" s="17">
        <v>45918</v>
      </c>
      <c r="B178" s="18">
        <v>416.85</v>
      </c>
      <c r="C178" s="18">
        <v>428.86</v>
      </c>
      <c r="D178" s="18">
        <v>432.22</v>
      </c>
      <c r="E178" s="18">
        <v>416.56</v>
      </c>
      <c r="F178" s="18" t="s">
        <v>281</v>
      </c>
      <c r="G178" s="18">
        <v>-2.12E-2</v>
      </c>
      <c r="H178" s="19">
        <v>-2.1384208901630081E-2</v>
      </c>
      <c r="I178" s="20">
        <v>-2.1384208901630082</v>
      </c>
      <c r="J178" s="20">
        <f t="shared" si="2"/>
        <v>-0.5241280428528966</v>
      </c>
    </row>
    <row r="179" spans="1:10" x14ac:dyDescent="0.35">
      <c r="A179" s="17">
        <v>45919</v>
      </c>
      <c r="B179" s="18">
        <v>426.07</v>
      </c>
      <c r="C179" s="18">
        <v>421.82</v>
      </c>
      <c r="D179" s="18">
        <v>429.47</v>
      </c>
      <c r="E179" s="18">
        <v>421.72</v>
      </c>
      <c r="F179" s="18" t="s">
        <v>278</v>
      </c>
      <c r="G179" s="18">
        <v>2.2100000000000002E-2</v>
      </c>
      <c r="H179" s="19">
        <v>2.1877207162645181E-2</v>
      </c>
      <c r="I179" s="20">
        <v>2.187720716264518</v>
      </c>
      <c r="J179" s="20">
        <f t="shared" si="2"/>
        <v>0.52708984228929745</v>
      </c>
    </row>
    <row r="180" spans="1:10" x14ac:dyDescent="0.35">
      <c r="A180" s="17">
        <v>45922</v>
      </c>
      <c r="B180" s="18">
        <v>434.21</v>
      </c>
      <c r="C180" s="18">
        <v>431.11</v>
      </c>
      <c r="D180" s="18">
        <v>444.98</v>
      </c>
      <c r="E180" s="18">
        <v>429.13</v>
      </c>
      <c r="F180" s="18" t="s">
        <v>280</v>
      </c>
      <c r="G180" s="18">
        <v>1.9099999999999999E-2</v>
      </c>
      <c r="H180" s="19">
        <v>1.892463602107167E-2</v>
      </c>
      <c r="I180" s="20">
        <v>1.892463602107167</v>
      </c>
      <c r="J180" s="20">
        <f t="shared" si="2"/>
        <v>0.45534471987894121</v>
      </c>
    </row>
    <row r="181" spans="1:10" x14ac:dyDescent="0.35">
      <c r="A181" s="17">
        <v>45923</v>
      </c>
      <c r="B181" s="18">
        <v>425.85</v>
      </c>
      <c r="C181" s="18">
        <v>439.88</v>
      </c>
      <c r="D181" s="18">
        <v>440.97</v>
      </c>
      <c r="E181" s="18">
        <v>423.72</v>
      </c>
      <c r="F181" s="18" t="s">
        <v>279</v>
      </c>
      <c r="G181" s="18">
        <v>-1.9300000000000001E-2</v>
      </c>
      <c r="H181" s="19">
        <v>-1.9441116453249471E-2</v>
      </c>
      <c r="I181" s="20">
        <v>-1.944111645324947</v>
      </c>
      <c r="J181" s="20">
        <f t="shared" si="2"/>
        <v>-0.47691244706223551</v>
      </c>
    </row>
    <row r="182" spans="1:10" x14ac:dyDescent="0.35">
      <c r="A182" s="17">
        <v>45924</v>
      </c>
      <c r="B182" s="18">
        <v>442.79</v>
      </c>
      <c r="C182" s="18">
        <v>429.83</v>
      </c>
      <c r="D182" s="18">
        <v>444.21</v>
      </c>
      <c r="E182" s="18">
        <v>429.03</v>
      </c>
      <c r="F182" s="18" t="s">
        <v>278</v>
      </c>
      <c r="G182" s="18">
        <v>3.9800000000000002E-2</v>
      </c>
      <c r="H182" s="19">
        <v>3.9008445433210519E-2</v>
      </c>
      <c r="I182" s="20">
        <v>3.9008445433210519</v>
      </c>
      <c r="J182" s="20">
        <f t="shared" si="2"/>
        <v>0.94336526050248071</v>
      </c>
    </row>
    <row r="183" spans="1:10" x14ac:dyDescent="0.35">
      <c r="A183" s="17">
        <v>45925</v>
      </c>
      <c r="B183" s="18">
        <v>423.39</v>
      </c>
      <c r="C183" s="18">
        <v>435.24</v>
      </c>
      <c r="D183" s="18">
        <v>435.35</v>
      </c>
      <c r="E183" s="18">
        <v>419.08</v>
      </c>
      <c r="F183" s="18" t="s">
        <v>277</v>
      </c>
      <c r="G183" s="18">
        <v>-4.3799999999999999E-2</v>
      </c>
      <c r="H183" s="19">
        <v>-4.4801876926275228E-2</v>
      </c>
      <c r="I183" s="20">
        <v>-4.4801876926275224</v>
      </c>
      <c r="J183" s="20">
        <f t="shared" si="2"/>
        <v>-1.0931586871400567</v>
      </c>
    </row>
    <row r="184" spans="1:10" x14ac:dyDescent="0.35">
      <c r="A184" s="17">
        <v>45926</v>
      </c>
      <c r="B184" s="18">
        <v>440.4</v>
      </c>
      <c r="C184" s="18">
        <v>428.3</v>
      </c>
      <c r="D184" s="18">
        <v>440.47</v>
      </c>
      <c r="E184" s="18">
        <v>421.02</v>
      </c>
      <c r="F184" s="18" t="s">
        <v>276</v>
      </c>
      <c r="G184" s="18">
        <v>4.02E-2</v>
      </c>
      <c r="H184" s="19">
        <v>3.9389664754499683E-2</v>
      </c>
      <c r="I184" s="20">
        <v>3.938966475449968</v>
      </c>
      <c r="J184" s="20">
        <f t="shared" si="2"/>
        <v>0.95262858577379261</v>
      </c>
    </row>
    <row r="185" spans="1:10" x14ac:dyDescent="0.35">
      <c r="A185" s="17">
        <v>45929</v>
      </c>
      <c r="B185" s="18">
        <v>443.21</v>
      </c>
      <c r="C185" s="18">
        <v>444.35</v>
      </c>
      <c r="D185" s="18">
        <v>450.98</v>
      </c>
      <c r="E185" s="18">
        <v>439.5</v>
      </c>
      <c r="F185" s="18" t="s">
        <v>275</v>
      </c>
      <c r="G185" s="18">
        <v>6.4000000000000003E-3</v>
      </c>
      <c r="H185" s="19">
        <v>6.36029350689973E-3</v>
      </c>
      <c r="I185" s="20">
        <v>0.63602935068997302</v>
      </c>
      <c r="J185" s="20">
        <f t="shared" si="2"/>
        <v>0.15004122388781316</v>
      </c>
    </row>
    <row r="186" spans="1:10" x14ac:dyDescent="0.35">
      <c r="A186" s="17">
        <v>45930</v>
      </c>
      <c r="B186" s="18">
        <v>444.72</v>
      </c>
      <c r="C186" s="18">
        <v>441.52</v>
      </c>
      <c r="D186" s="18">
        <v>445</v>
      </c>
      <c r="E186" s="18">
        <v>433.12</v>
      </c>
      <c r="F186" s="18" t="s">
        <v>274</v>
      </c>
      <c r="G186" s="18">
        <v>3.3999999999999998E-3</v>
      </c>
      <c r="H186" s="19">
        <v>3.401172289789521E-3</v>
      </c>
      <c r="I186" s="20">
        <v>0.34011722897895208</v>
      </c>
      <c r="J186" s="20">
        <f t="shared" si="2"/>
        <v>7.8136939869270575E-2</v>
      </c>
    </row>
    <row r="187" spans="1:10" x14ac:dyDescent="0.35">
      <c r="A187" s="17">
        <v>45931</v>
      </c>
      <c r="B187" s="18">
        <v>459.46</v>
      </c>
      <c r="C187" s="18">
        <v>443.8</v>
      </c>
      <c r="D187" s="18">
        <v>462.29</v>
      </c>
      <c r="E187" s="18">
        <v>440.75</v>
      </c>
      <c r="F187" s="18" t="s">
        <v>273</v>
      </c>
      <c r="G187" s="18">
        <v>3.3099999999999997E-2</v>
      </c>
      <c r="H187" s="19">
        <v>3.2607016218810667E-2</v>
      </c>
      <c r="I187" s="20">
        <v>3.2607016218810672</v>
      </c>
      <c r="J187" s="20">
        <f t="shared" si="2"/>
        <v>0.78781563931923337</v>
      </c>
    </row>
    <row r="188" spans="1:10" x14ac:dyDescent="0.35">
      <c r="A188" s="17">
        <v>45932</v>
      </c>
      <c r="B188" s="18">
        <v>436</v>
      </c>
      <c r="C188" s="18">
        <v>470.54</v>
      </c>
      <c r="D188" s="18">
        <v>470.75</v>
      </c>
      <c r="E188" s="18">
        <v>435.57</v>
      </c>
      <c r="F188" s="18" t="s">
        <v>272</v>
      </c>
      <c r="G188" s="18">
        <v>-5.11E-2</v>
      </c>
      <c r="H188" s="19">
        <v>-5.2409643514990563E-2</v>
      </c>
      <c r="I188" s="20">
        <v>-5.2409643514990556</v>
      </c>
      <c r="J188" s="20">
        <f t="shared" si="2"/>
        <v>-1.2780213437891752</v>
      </c>
    </row>
    <row r="189" spans="1:10" x14ac:dyDescent="0.35">
      <c r="A189" s="17">
        <v>45933</v>
      </c>
      <c r="B189" s="18">
        <v>429.83</v>
      </c>
      <c r="C189" s="18">
        <v>443.29</v>
      </c>
      <c r="D189" s="18">
        <v>446.77</v>
      </c>
      <c r="E189" s="18">
        <v>416.58</v>
      </c>
      <c r="F189" s="18" t="s">
        <v>271</v>
      </c>
      <c r="G189" s="18">
        <v>-1.4200000000000001E-2</v>
      </c>
      <c r="H189" s="19">
        <v>-1.4252461669591021E-2</v>
      </c>
      <c r="I189" s="20">
        <v>-1.4252461669591019</v>
      </c>
      <c r="J189" s="20">
        <f t="shared" si="2"/>
        <v>-0.35083227667884986</v>
      </c>
    </row>
    <row r="190" spans="1:10" x14ac:dyDescent="0.35">
      <c r="A190" s="17">
        <v>45936</v>
      </c>
      <c r="B190" s="18">
        <v>453.25</v>
      </c>
      <c r="C190" s="18">
        <v>440.75</v>
      </c>
      <c r="D190" s="18">
        <v>453.55</v>
      </c>
      <c r="E190" s="18">
        <v>436.69</v>
      </c>
      <c r="F190" s="18" t="s">
        <v>270</v>
      </c>
      <c r="G190" s="18">
        <v>5.45E-2</v>
      </c>
      <c r="H190" s="19">
        <v>5.3054067955517092E-2</v>
      </c>
      <c r="I190" s="20">
        <v>5.3054067955517086</v>
      </c>
      <c r="J190" s="20">
        <f t="shared" si="2"/>
        <v>1.284662678540478</v>
      </c>
    </row>
    <row r="191" spans="1:10" x14ac:dyDescent="0.35">
      <c r="A191" s="17">
        <v>45937</v>
      </c>
      <c r="B191" s="18">
        <v>433.09</v>
      </c>
      <c r="C191" s="18">
        <v>447.82</v>
      </c>
      <c r="D191" s="18">
        <v>452.68</v>
      </c>
      <c r="E191" s="18">
        <v>432.45</v>
      </c>
      <c r="F191" s="18" t="s">
        <v>269</v>
      </c>
      <c r="G191" s="18">
        <v>-4.4499999999999998E-2</v>
      </c>
      <c r="H191" s="19">
        <v>-4.5498291036749759E-2</v>
      </c>
      <c r="I191" s="20">
        <v>-4.5498291036749761</v>
      </c>
      <c r="J191" s="20">
        <f t="shared" si="2"/>
        <v>-1.1100809942441177</v>
      </c>
    </row>
    <row r="192" spans="1:10" x14ac:dyDescent="0.35">
      <c r="A192" s="17">
        <v>45938</v>
      </c>
      <c r="B192" s="18">
        <v>438.69</v>
      </c>
      <c r="C192" s="18">
        <v>437.57</v>
      </c>
      <c r="D192" s="18">
        <v>441.33</v>
      </c>
      <c r="E192" s="18">
        <v>425.23</v>
      </c>
      <c r="F192" s="18" t="s">
        <v>268</v>
      </c>
      <c r="G192" s="18">
        <v>1.29E-2</v>
      </c>
      <c r="H192" s="19">
        <v>1.2847454693686649E-2</v>
      </c>
      <c r="I192" s="20">
        <v>1.284745469368666</v>
      </c>
      <c r="J192" s="20">
        <f t="shared" si="2"/>
        <v>0.30767406358078064</v>
      </c>
    </row>
    <row r="193" spans="1:10" x14ac:dyDescent="0.35">
      <c r="A193" s="17">
        <v>45939</v>
      </c>
      <c r="B193" s="18">
        <v>435.54</v>
      </c>
      <c r="C193" s="18">
        <v>431.81</v>
      </c>
      <c r="D193" s="18">
        <v>436.35</v>
      </c>
      <c r="E193" s="18">
        <v>426.18</v>
      </c>
      <c r="F193" s="18" t="s">
        <v>267</v>
      </c>
      <c r="G193" s="18">
        <v>-7.1999999999999998E-3</v>
      </c>
      <c r="H193" s="19">
        <v>-7.2063727670931164E-3</v>
      </c>
      <c r="I193" s="20">
        <v>-0.72063727670931166</v>
      </c>
      <c r="J193" s="20">
        <f t="shared" si="2"/>
        <v>-0.17961793955213898</v>
      </c>
    </row>
    <row r="194" spans="1:10" x14ac:dyDescent="0.35">
      <c r="A194" s="17">
        <v>45940</v>
      </c>
      <c r="B194" s="18">
        <v>413.49</v>
      </c>
      <c r="C194" s="18">
        <v>436.54</v>
      </c>
      <c r="D194" s="18">
        <v>443.13</v>
      </c>
      <c r="E194" s="18">
        <v>411.45</v>
      </c>
      <c r="F194" s="18" t="s">
        <v>266</v>
      </c>
      <c r="G194" s="18">
        <v>-5.0599999999999999E-2</v>
      </c>
      <c r="H194" s="19">
        <v>-5.1953310150347112E-2</v>
      </c>
      <c r="I194" s="20">
        <v>-5.1953310150347107</v>
      </c>
      <c r="J194" s="20">
        <f t="shared" si="2"/>
        <v>-1.266932807209892</v>
      </c>
    </row>
    <row r="195" spans="1:10" x14ac:dyDescent="0.35">
      <c r="A195" s="17">
        <v>45943</v>
      </c>
      <c r="B195" s="18">
        <v>435.9</v>
      </c>
      <c r="C195" s="18">
        <v>423.53</v>
      </c>
      <c r="D195" s="18">
        <v>436.89</v>
      </c>
      <c r="E195" s="18">
        <v>419.7</v>
      </c>
      <c r="F195" s="18" t="s">
        <v>265</v>
      </c>
      <c r="G195" s="18">
        <v>5.4199999999999998E-2</v>
      </c>
      <c r="H195" s="19">
        <v>5.2779528869889569E-2</v>
      </c>
      <c r="I195" s="20">
        <v>5.2779528869889569</v>
      </c>
      <c r="J195" s="20">
        <f t="shared" ref="J195:J223" si="3">(H195-C$227)/C$228</f>
        <v>1.2779915978584806</v>
      </c>
    </row>
    <row r="196" spans="1:10" x14ac:dyDescent="0.35">
      <c r="A196" s="17">
        <v>45944</v>
      </c>
      <c r="B196" s="18">
        <v>429.24</v>
      </c>
      <c r="C196" s="18">
        <v>426.79</v>
      </c>
      <c r="D196" s="18">
        <v>434.2</v>
      </c>
      <c r="E196" s="18">
        <v>417.86</v>
      </c>
      <c r="F196" s="18" t="s">
        <v>264</v>
      </c>
      <c r="G196" s="18">
        <v>-1.5299999999999999E-2</v>
      </c>
      <c r="H196" s="19">
        <v>-1.5396656185420139E-2</v>
      </c>
      <c r="I196" s="20">
        <v>-1.5396656185420139</v>
      </c>
      <c r="J196" s="20">
        <f t="shared" si="3"/>
        <v>-0.37863529027725212</v>
      </c>
    </row>
    <row r="197" spans="1:10" x14ac:dyDescent="0.35">
      <c r="A197" s="17">
        <v>45945</v>
      </c>
      <c r="B197" s="18">
        <v>435.15</v>
      </c>
      <c r="C197" s="18">
        <v>434.9</v>
      </c>
      <c r="D197" s="18">
        <v>440.51</v>
      </c>
      <c r="E197" s="18">
        <v>426.33</v>
      </c>
      <c r="F197" s="18" t="s">
        <v>263</v>
      </c>
      <c r="G197" s="18">
        <v>1.38E-2</v>
      </c>
      <c r="H197" s="19">
        <v>1.36745961765959E-2</v>
      </c>
      <c r="I197" s="20">
        <v>1.3674596176595899</v>
      </c>
      <c r="J197" s="20">
        <f t="shared" si="3"/>
        <v>0.32777294150667607</v>
      </c>
    </row>
    <row r="198" spans="1:10" x14ac:dyDescent="0.35">
      <c r="A198" s="17">
        <v>45946</v>
      </c>
      <c r="B198" s="18">
        <v>428.75</v>
      </c>
      <c r="C198" s="18">
        <v>434.73</v>
      </c>
      <c r="D198" s="18">
        <v>439.35</v>
      </c>
      <c r="E198" s="18">
        <v>421.31</v>
      </c>
      <c r="F198" s="18" t="s">
        <v>262</v>
      </c>
      <c r="G198" s="18">
        <v>-1.47E-2</v>
      </c>
      <c r="H198" s="19">
        <v>-1.481680075537301E-2</v>
      </c>
      <c r="I198" s="20">
        <v>-1.481680075537301</v>
      </c>
      <c r="J198" s="20">
        <f t="shared" si="3"/>
        <v>-0.36454526608671894</v>
      </c>
    </row>
    <row r="199" spans="1:10" x14ac:dyDescent="0.35">
      <c r="A199" s="17">
        <v>45947</v>
      </c>
      <c r="B199" s="18">
        <v>439.31</v>
      </c>
      <c r="C199" s="18">
        <v>425.5</v>
      </c>
      <c r="D199" s="18">
        <v>441.46</v>
      </c>
      <c r="E199" s="18">
        <v>423.6</v>
      </c>
      <c r="F199" s="18" t="s">
        <v>261</v>
      </c>
      <c r="G199" s="18">
        <v>2.46E-2</v>
      </c>
      <c r="H199" s="19">
        <v>2.4331315729866191E-2</v>
      </c>
      <c r="I199" s="20">
        <v>2.433131572986619</v>
      </c>
      <c r="J199" s="20">
        <f t="shared" si="3"/>
        <v>0.58672272194609121</v>
      </c>
    </row>
    <row r="200" spans="1:10" x14ac:dyDescent="0.35">
      <c r="A200" s="17">
        <v>45950</v>
      </c>
      <c r="B200" s="18">
        <v>447.43</v>
      </c>
      <c r="C200" s="18">
        <v>443.86</v>
      </c>
      <c r="D200" s="18">
        <v>449.8</v>
      </c>
      <c r="E200" s="18">
        <v>440.61</v>
      </c>
      <c r="F200" s="18" t="s">
        <v>260</v>
      </c>
      <c r="G200" s="18">
        <v>1.8499999999999999E-2</v>
      </c>
      <c r="H200" s="19">
        <v>1.8314786688287829E-2</v>
      </c>
      <c r="I200" s="20">
        <v>1.831478668828783</v>
      </c>
      <c r="J200" s="20">
        <f t="shared" si="3"/>
        <v>0.44052586778884961</v>
      </c>
    </row>
    <row r="201" spans="1:10" x14ac:dyDescent="0.35">
      <c r="A201" s="17">
        <v>45951</v>
      </c>
      <c r="B201" s="18">
        <v>442.6</v>
      </c>
      <c r="C201" s="18">
        <v>445.76</v>
      </c>
      <c r="D201" s="18">
        <v>449.3</v>
      </c>
      <c r="E201" s="18">
        <v>442.05</v>
      </c>
      <c r="F201" s="18" t="s">
        <v>259</v>
      </c>
      <c r="G201" s="18">
        <v>-1.0800000000000001E-2</v>
      </c>
      <c r="H201" s="19">
        <v>-1.085367328135438E-2</v>
      </c>
      <c r="I201" s="20">
        <v>-1.0853673281354379</v>
      </c>
      <c r="J201" s="20">
        <f t="shared" si="3"/>
        <v>-0.2682444312828598</v>
      </c>
    </row>
    <row r="202" spans="1:10" x14ac:dyDescent="0.35">
      <c r="A202" s="17">
        <v>45952</v>
      </c>
      <c r="B202" s="18">
        <v>438.97</v>
      </c>
      <c r="C202" s="18">
        <v>443.45</v>
      </c>
      <c r="D202" s="18">
        <v>445.54</v>
      </c>
      <c r="E202" s="18">
        <v>429</v>
      </c>
      <c r="F202" s="18" t="s">
        <v>258</v>
      </c>
      <c r="G202" s="18">
        <v>-8.2000000000000007E-3</v>
      </c>
      <c r="H202" s="19">
        <v>-8.235354006706502E-3</v>
      </c>
      <c r="I202" s="20">
        <v>-0.82353540067065023</v>
      </c>
      <c r="J202" s="20">
        <f t="shared" si="3"/>
        <v>-0.20462136248564342</v>
      </c>
    </row>
    <row r="203" spans="1:10" x14ac:dyDescent="0.35">
      <c r="A203" s="17">
        <v>45953</v>
      </c>
      <c r="B203" s="18">
        <v>448.98</v>
      </c>
      <c r="C203" s="18">
        <v>420</v>
      </c>
      <c r="D203" s="18">
        <v>449.4</v>
      </c>
      <c r="E203" s="18">
        <v>413.9</v>
      </c>
      <c r="F203" s="18" t="s">
        <v>257</v>
      </c>
      <c r="G203" s="18">
        <v>2.2800000000000001E-2</v>
      </c>
      <c r="H203" s="19">
        <v>2.2547269710079459E-2</v>
      </c>
      <c r="I203" s="20">
        <v>2.2547269710079458</v>
      </c>
      <c r="J203" s="20">
        <f t="shared" si="3"/>
        <v>0.54337182744161705</v>
      </c>
    </row>
    <row r="204" spans="1:10" x14ac:dyDescent="0.35">
      <c r="A204" s="17">
        <v>45954</v>
      </c>
      <c r="B204" s="18">
        <v>433.72</v>
      </c>
      <c r="C204" s="18">
        <v>446.83</v>
      </c>
      <c r="D204" s="18">
        <v>451.68</v>
      </c>
      <c r="E204" s="18">
        <v>430.17</v>
      </c>
      <c r="F204" s="18" t="s">
        <v>256</v>
      </c>
      <c r="G204" s="18">
        <v>-3.4000000000000002E-2</v>
      </c>
      <c r="H204" s="19">
        <v>-3.4579178716340912E-2</v>
      </c>
      <c r="I204" s="20">
        <v>-3.4579178716340908</v>
      </c>
      <c r="J204" s="20">
        <f t="shared" si="3"/>
        <v>-0.84475527896849234</v>
      </c>
    </row>
    <row r="205" spans="1:10" x14ac:dyDescent="0.35">
      <c r="A205" s="17">
        <v>45957</v>
      </c>
      <c r="B205" s="18">
        <v>452.42</v>
      </c>
      <c r="C205" s="18">
        <v>439.98</v>
      </c>
      <c r="D205" s="18">
        <v>460.16</v>
      </c>
      <c r="E205" s="18">
        <v>438.69</v>
      </c>
      <c r="F205" s="18" t="s">
        <v>255</v>
      </c>
      <c r="G205" s="18">
        <v>4.3099999999999999E-2</v>
      </c>
      <c r="H205" s="19">
        <v>4.2211787325708322E-2</v>
      </c>
      <c r="I205" s="20">
        <v>4.2211787325708316</v>
      </c>
      <c r="J205" s="20">
        <f t="shared" si="3"/>
        <v>1.0212039120301106</v>
      </c>
    </row>
    <row r="206" spans="1:10" x14ac:dyDescent="0.35">
      <c r="A206" s="17">
        <v>45958</v>
      </c>
      <c r="B206" s="18">
        <v>460.55</v>
      </c>
      <c r="C206" s="18">
        <v>454.77</v>
      </c>
      <c r="D206" s="18">
        <v>467</v>
      </c>
      <c r="E206" s="18">
        <v>451.6</v>
      </c>
      <c r="F206" s="18" t="s">
        <v>254</v>
      </c>
      <c r="G206" s="18">
        <v>1.7999999999999999E-2</v>
      </c>
      <c r="H206" s="19">
        <v>1.7810475504555161E-2</v>
      </c>
      <c r="I206" s="20">
        <v>1.7810475504555161</v>
      </c>
      <c r="J206" s="20">
        <f t="shared" si="3"/>
        <v>0.42827150849489215</v>
      </c>
    </row>
    <row r="207" spans="1:10" x14ac:dyDescent="0.35">
      <c r="A207" s="17">
        <v>45959</v>
      </c>
      <c r="B207" s="18">
        <v>461.51</v>
      </c>
      <c r="C207" s="18">
        <v>462.5</v>
      </c>
      <c r="D207" s="18">
        <v>465.7</v>
      </c>
      <c r="E207" s="18">
        <v>452.65</v>
      </c>
      <c r="F207" s="18" t="s">
        <v>253</v>
      </c>
      <c r="G207" s="18">
        <v>2.0999999999999999E-3</v>
      </c>
      <c r="H207" s="19">
        <v>2.0822947462769219E-3</v>
      </c>
      <c r="I207" s="20">
        <v>0.2082294746276922</v>
      </c>
      <c r="J207" s="20">
        <f t="shared" si="3"/>
        <v>4.6089268105753312E-2</v>
      </c>
    </row>
    <row r="208" spans="1:10" x14ac:dyDescent="0.35">
      <c r="A208" s="17">
        <v>45960</v>
      </c>
      <c r="B208" s="18">
        <v>440.1</v>
      </c>
      <c r="C208" s="18">
        <v>451.05</v>
      </c>
      <c r="D208" s="18">
        <v>455.06</v>
      </c>
      <c r="E208" s="18">
        <v>439.61</v>
      </c>
      <c r="F208" s="18" t="s">
        <v>252</v>
      </c>
      <c r="G208" s="18">
        <v>-4.6399999999999997E-2</v>
      </c>
      <c r="H208" s="19">
        <v>-4.7501748363475808E-2</v>
      </c>
      <c r="I208" s="20">
        <v>-4.7501748363475809</v>
      </c>
      <c r="J208" s="20">
        <f t="shared" si="3"/>
        <v>-1.1587634084037586</v>
      </c>
    </row>
    <row r="209" spans="1:10" x14ac:dyDescent="0.35">
      <c r="A209" s="17">
        <v>45961</v>
      </c>
      <c r="B209" s="18">
        <v>456.56</v>
      </c>
      <c r="C209" s="18">
        <v>446.75</v>
      </c>
      <c r="D209" s="18">
        <v>458</v>
      </c>
      <c r="E209" s="18">
        <v>443.69</v>
      </c>
      <c r="F209" s="18" t="s">
        <v>251</v>
      </c>
      <c r="G209" s="18">
        <v>3.7400000000000003E-2</v>
      </c>
      <c r="H209" s="19">
        <v>3.671815241140685E-2</v>
      </c>
      <c r="I209" s="20">
        <v>3.6718152411406848</v>
      </c>
      <c r="J209" s="20">
        <f t="shared" si="3"/>
        <v>0.88771296786464127</v>
      </c>
    </row>
    <row r="210" spans="1:10" x14ac:dyDescent="0.35">
      <c r="A210" s="17">
        <v>45964</v>
      </c>
      <c r="B210" s="18">
        <v>468.37</v>
      </c>
      <c r="C210" s="18">
        <v>455.99</v>
      </c>
      <c r="D210" s="18">
        <v>474.07</v>
      </c>
      <c r="E210" s="18">
        <v>453.8</v>
      </c>
      <c r="F210" s="18" t="s">
        <v>250</v>
      </c>
      <c r="G210" s="18">
        <v>2.5899999999999999E-2</v>
      </c>
      <c r="H210" s="19">
        <v>2.5538455621586281E-2</v>
      </c>
      <c r="I210" s="20">
        <v>2.553845562158628</v>
      </c>
      <c r="J210" s="20">
        <f t="shared" si="3"/>
        <v>0.61605525794443694</v>
      </c>
    </row>
    <row r="211" spans="1:10" x14ac:dyDescent="0.35">
      <c r="A211" s="17">
        <v>45965</v>
      </c>
      <c r="B211" s="18">
        <v>444.26</v>
      </c>
      <c r="C211" s="18">
        <v>454.46</v>
      </c>
      <c r="D211" s="18">
        <v>460.22</v>
      </c>
      <c r="E211" s="18">
        <v>443.6</v>
      </c>
      <c r="F211" s="18" t="s">
        <v>15</v>
      </c>
      <c r="G211" s="18">
        <v>-5.1499999999999997E-2</v>
      </c>
      <c r="H211" s="19">
        <v>-5.2848605220562457E-2</v>
      </c>
      <c r="I211" s="20">
        <v>-5.2848605220562446</v>
      </c>
      <c r="J211" s="20">
        <f t="shared" si="3"/>
        <v>-1.2886877629166515</v>
      </c>
    </row>
    <row r="212" spans="1:10" x14ac:dyDescent="0.35">
      <c r="A212" s="17">
        <v>45966</v>
      </c>
      <c r="B212" s="18">
        <v>462.07</v>
      </c>
      <c r="C212" s="18">
        <v>452.05</v>
      </c>
      <c r="D212" s="18">
        <v>466.33</v>
      </c>
      <c r="E212" s="18">
        <v>440.71</v>
      </c>
      <c r="F212" s="18" t="s">
        <v>249</v>
      </c>
      <c r="G212" s="18">
        <v>4.0099999999999997E-2</v>
      </c>
      <c r="H212" s="19">
        <v>3.9306418126516383E-2</v>
      </c>
      <c r="I212" s="20">
        <v>3.930641812651638</v>
      </c>
      <c r="J212" s="20">
        <f t="shared" si="3"/>
        <v>0.9506057591496293</v>
      </c>
    </row>
    <row r="213" spans="1:10" x14ac:dyDescent="0.35">
      <c r="A213" s="17">
        <v>45967</v>
      </c>
      <c r="B213" s="18">
        <v>445.91</v>
      </c>
      <c r="C213" s="18">
        <v>461.96</v>
      </c>
      <c r="D213" s="18">
        <v>467.45</v>
      </c>
      <c r="E213" s="18">
        <v>435.09</v>
      </c>
      <c r="F213" s="18" t="s">
        <v>248</v>
      </c>
      <c r="G213" s="18">
        <v>-3.5000000000000003E-2</v>
      </c>
      <c r="H213" s="19">
        <v>-3.5599256820994303E-2</v>
      </c>
      <c r="I213" s="20">
        <v>-3.5599256820994301</v>
      </c>
      <c r="J213" s="20">
        <f t="shared" si="3"/>
        <v>-0.86954236282770758</v>
      </c>
    </row>
    <row r="214" spans="1:10" x14ac:dyDescent="0.35">
      <c r="A214" s="17">
        <v>45968</v>
      </c>
      <c r="B214" s="18">
        <v>429.52</v>
      </c>
      <c r="C214" s="18">
        <v>437.92</v>
      </c>
      <c r="D214" s="18">
        <v>439.36</v>
      </c>
      <c r="E214" s="18">
        <v>421.88</v>
      </c>
      <c r="F214" s="18" t="s">
        <v>247</v>
      </c>
      <c r="G214" s="18">
        <v>-3.6799999999999999E-2</v>
      </c>
      <c r="H214" s="19">
        <v>-3.7448831820684383E-2</v>
      </c>
      <c r="I214" s="20">
        <v>-3.7448831820684378</v>
      </c>
      <c r="J214" s="20">
        <f t="shared" si="3"/>
        <v>-0.9144855592477541</v>
      </c>
    </row>
    <row r="215" spans="1:10" x14ac:dyDescent="0.35">
      <c r="A215" s="17">
        <v>45971</v>
      </c>
      <c r="B215" s="18">
        <v>445.23</v>
      </c>
      <c r="C215" s="18">
        <v>439.6</v>
      </c>
      <c r="D215" s="18">
        <v>449.67</v>
      </c>
      <c r="E215" s="18">
        <v>433.36</v>
      </c>
      <c r="F215" s="18" t="s">
        <v>246</v>
      </c>
      <c r="G215" s="18">
        <v>3.6600000000000001E-2</v>
      </c>
      <c r="H215" s="19">
        <v>3.5922696461522553E-2</v>
      </c>
      <c r="I215" s="20">
        <v>3.5922696461522552</v>
      </c>
      <c r="J215" s="20">
        <f t="shared" si="3"/>
        <v>0.86838402310428542</v>
      </c>
    </row>
    <row r="216" spans="1:10" x14ac:dyDescent="0.35">
      <c r="A216" s="17">
        <v>45972</v>
      </c>
      <c r="B216" s="18">
        <v>439.62</v>
      </c>
      <c r="C216" s="18">
        <v>439.4</v>
      </c>
      <c r="D216" s="18">
        <v>442.49</v>
      </c>
      <c r="E216" s="18">
        <v>432.36</v>
      </c>
      <c r="F216" s="18" t="s">
        <v>245</v>
      </c>
      <c r="G216" s="18">
        <v>-1.26E-2</v>
      </c>
      <c r="H216" s="19">
        <v>-1.2680285175909181E-2</v>
      </c>
      <c r="I216" s="20">
        <v>-1.2680285175909181</v>
      </c>
      <c r="J216" s="20">
        <f t="shared" si="3"/>
        <v>-0.31262964257406217</v>
      </c>
    </row>
    <row r="217" spans="1:10" x14ac:dyDescent="0.35">
      <c r="A217" s="17">
        <v>45973</v>
      </c>
      <c r="B217" s="18">
        <v>430.6</v>
      </c>
      <c r="C217" s="18">
        <v>442.15</v>
      </c>
      <c r="D217" s="18">
        <v>442.33</v>
      </c>
      <c r="E217" s="18">
        <v>426.56</v>
      </c>
      <c r="F217" s="18" t="s">
        <v>244</v>
      </c>
      <c r="G217" s="18">
        <v>-2.0500000000000001E-2</v>
      </c>
      <c r="H217" s="19">
        <v>-2.0731132469664831E-2</v>
      </c>
      <c r="I217" s="20">
        <v>-2.073113246966483</v>
      </c>
      <c r="J217" s="20">
        <f t="shared" si="3"/>
        <v>-0.50825880675052948</v>
      </c>
    </row>
    <row r="218" spans="1:10" x14ac:dyDescent="0.35">
      <c r="A218" s="17">
        <v>45974</v>
      </c>
      <c r="B218" s="18">
        <v>401.99</v>
      </c>
      <c r="C218" s="18">
        <v>423.13</v>
      </c>
      <c r="D218" s="18">
        <v>424.5</v>
      </c>
      <c r="E218" s="18">
        <v>396.34</v>
      </c>
      <c r="F218" s="18" t="s">
        <v>243</v>
      </c>
      <c r="G218" s="18">
        <v>-6.6400000000000001E-2</v>
      </c>
      <c r="H218" s="19">
        <v>-6.8752372242535609E-2</v>
      </c>
      <c r="I218" s="20">
        <v>-6.8752372242535609</v>
      </c>
      <c r="J218" s="20">
        <f t="shared" si="3"/>
        <v>-1.6751366093851465</v>
      </c>
    </row>
    <row r="219" spans="1:10" x14ac:dyDescent="0.35">
      <c r="A219" s="17">
        <v>45975</v>
      </c>
      <c r="B219" s="18">
        <v>404.35</v>
      </c>
      <c r="C219" s="18">
        <v>386.3</v>
      </c>
      <c r="D219" s="18">
        <v>412.19</v>
      </c>
      <c r="E219" s="18">
        <v>382.78</v>
      </c>
      <c r="F219" s="18" t="s">
        <v>242</v>
      </c>
      <c r="G219" s="18">
        <v>5.8999999999999999E-3</v>
      </c>
      <c r="H219" s="19">
        <v>5.8536268541041414E-3</v>
      </c>
      <c r="I219" s="20">
        <v>0.58536268541041414</v>
      </c>
      <c r="J219" s="20">
        <f t="shared" si="3"/>
        <v>0.13772962857543314</v>
      </c>
    </row>
    <row r="220" spans="1:10" x14ac:dyDescent="0.35">
      <c r="A220" s="17">
        <v>45978</v>
      </c>
      <c r="B220" s="18">
        <v>408.92</v>
      </c>
      <c r="C220" s="18">
        <v>398.74</v>
      </c>
      <c r="D220" s="18">
        <v>423.96</v>
      </c>
      <c r="E220" s="18">
        <v>398.74</v>
      </c>
      <c r="F220" s="18" t="s">
        <v>241</v>
      </c>
      <c r="G220" s="18">
        <v>1.1299999999999999E-2</v>
      </c>
      <c r="H220" s="19">
        <v>1.1238698346982099E-2</v>
      </c>
      <c r="I220" s="20">
        <v>1.1238698346982099</v>
      </c>
      <c r="J220" s="20">
        <f t="shared" si="3"/>
        <v>0.26858256824047039</v>
      </c>
    </row>
    <row r="221" spans="1:10" x14ac:dyDescent="0.35">
      <c r="A221" s="17">
        <v>45979</v>
      </c>
      <c r="B221" s="18">
        <v>401.25</v>
      </c>
      <c r="C221" s="18">
        <v>405.38</v>
      </c>
      <c r="D221" s="18">
        <v>408.9</v>
      </c>
      <c r="E221" s="18">
        <v>393.71</v>
      </c>
      <c r="F221" s="18" t="s">
        <v>240</v>
      </c>
      <c r="G221" s="18">
        <v>-1.8800000000000001E-2</v>
      </c>
      <c r="H221" s="19">
        <v>-1.8934863444587679E-2</v>
      </c>
      <c r="I221" s="20">
        <v>-1.893486344458768</v>
      </c>
      <c r="J221" s="20">
        <f t="shared" si="3"/>
        <v>-0.46461090297219382</v>
      </c>
    </row>
    <row r="222" spans="1:10" x14ac:dyDescent="0.35">
      <c r="A222" s="17">
        <v>45980</v>
      </c>
      <c r="B222" s="18">
        <v>403.99</v>
      </c>
      <c r="C222" s="18">
        <v>406.18</v>
      </c>
      <c r="D222" s="18">
        <v>411.78</v>
      </c>
      <c r="E222" s="18">
        <v>398.5</v>
      </c>
      <c r="F222" s="18" t="s">
        <v>239</v>
      </c>
      <c r="G222" s="18">
        <v>6.7999999999999996E-3</v>
      </c>
      <c r="H222" s="19">
        <v>6.8054507353294486E-3</v>
      </c>
      <c r="I222" s="20">
        <v>0.68054507353294491</v>
      </c>
      <c r="J222" s="20">
        <f t="shared" si="3"/>
        <v>0.16085818927633364</v>
      </c>
    </row>
    <row r="223" spans="1:10" x14ac:dyDescent="0.35">
      <c r="A223" s="17">
        <v>45981</v>
      </c>
      <c r="B223" s="18">
        <v>395.23</v>
      </c>
      <c r="C223" s="18">
        <v>414.63</v>
      </c>
      <c r="D223" s="18">
        <v>428.94</v>
      </c>
      <c r="E223" s="18">
        <v>394.74</v>
      </c>
      <c r="F223" s="18" t="s">
        <v>238</v>
      </c>
      <c r="G223" s="18">
        <v>-2.1700000000000001E-2</v>
      </c>
      <c r="H223" s="19">
        <v>-2.192225125575701E-2</v>
      </c>
      <c r="I223" s="20">
        <v>-2.192225125575701</v>
      </c>
      <c r="J223" s="20">
        <f t="shared" si="3"/>
        <v>-0.53720204266792582</v>
      </c>
    </row>
    <row r="225" spans="2:4" x14ac:dyDescent="0.35">
      <c r="B225" s="12" t="s">
        <v>228</v>
      </c>
      <c r="C225" s="12" t="s">
        <v>229</v>
      </c>
    </row>
    <row r="226" spans="2:4" x14ac:dyDescent="0.35">
      <c r="B226" s="22" t="s">
        <v>230</v>
      </c>
      <c r="C226" s="18">
        <v>222</v>
      </c>
    </row>
    <row r="227" spans="2:4" x14ac:dyDescent="0.35">
      <c r="B227" s="22" t="s">
        <v>231</v>
      </c>
      <c r="C227" s="18">
        <v>1.8555475373843819E-4</v>
      </c>
      <c r="D227" s="21">
        <f>C227</f>
        <v>1.8555475373843819E-4</v>
      </c>
    </row>
    <row r="228" spans="2:4" x14ac:dyDescent="0.35">
      <c r="B228" s="22" t="s">
        <v>452</v>
      </c>
      <c r="C228" s="18">
        <v>4.1153614941039043E-2</v>
      </c>
      <c r="D228" s="21">
        <f t="shared" ref="D228:D233" si="4">C228</f>
        <v>4.1153614941039043E-2</v>
      </c>
    </row>
    <row r="229" spans="2:4" x14ac:dyDescent="0.35">
      <c r="B229" s="22" t="s">
        <v>453</v>
      </c>
      <c r="C229" s="18">
        <v>-0.16754566208266</v>
      </c>
      <c r="D229" s="21">
        <f t="shared" si="4"/>
        <v>-0.16754566208266</v>
      </c>
    </row>
    <row r="230" spans="2:4" x14ac:dyDescent="0.35">
      <c r="B230" s="22" t="s">
        <v>454</v>
      </c>
      <c r="C230" s="18">
        <v>-2.188083285261834E-2</v>
      </c>
      <c r="D230" s="21">
        <f t="shared" si="4"/>
        <v>-2.188083285261834E-2</v>
      </c>
    </row>
    <row r="231" spans="2:4" x14ac:dyDescent="0.35">
      <c r="B231" s="22" t="s">
        <v>455</v>
      </c>
      <c r="C231" s="18">
        <v>2.5001306014088407E-4</v>
      </c>
      <c r="D231" s="21">
        <f t="shared" si="4"/>
        <v>2.5001306014088407E-4</v>
      </c>
    </row>
    <row r="232" spans="2:4" x14ac:dyDescent="0.35">
      <c r="B232" s="22" t="s">
        <v>456</v>
      </c>
      <c r="C232" s="18">
        <v>2.4271243897543739E-2</v>
      </c>
      <c r="D232" s="21">
        <f t="shared" si="4"/>
        <v>2.4271243897543739E-2</v>
      </c>
    </row>
    <row r="233" spans="2:4" x14ac:dyDescent="0.35">
      <c r="B233" s="22" t="s">
        <v>457</v>
      </c>
      <c r="C233" s="18">
        <v>0.20449053790685209</v>
      </c>
      <c r="D233" s="21">
        <f t="shared" si="4"/>
        <v>0.20449053790685209</v>
      </c>
    </row>
    <row r="234" spans="2:4" x14ac:dyDescent="0.35">
      <c r="B234" s="22" t="s">
        <v>235</v>
      </c>
      <c r="C234" s="18">
        <v>5.8715774731343567E-2</v>
      </c>
    </row>
    <row r="235" spans="2:4" x14ac:dyDescent="0.35">
      <c r="B235" s="22" t="s">
        <v>458</v>
      </c>
      <c r="C235" s="18">
        <v>3.8173919975910748</v>
      </c>
    </row>
    <row r="236" spans="2:4" x14ac:dyDescent="0.35">
      <c r="B236" s="22" t="s">
        <v>459</v>
      </c>
      <c r="C236" s="18">
        <v>4.7870278250472083E-2</v>
      </c>
    </row>
  </sheetData>
  <conditionalFormatting sqref="I2:I2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B2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ignoredErrors>
    <ignoredError sqref="B230:B23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palantir</vt:lpstr>
      <vt:lpstr>palantir_log</vt:lpstr>
      <vt:lpstr>tesla</vt:lpstr>
      <vt:lpstr>tesla_log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Sierra</dc:creator>
  <cp:lastModifiedBy>Sebastian Sierra</cp:lastModifiedBy>
  <dcterms:created xsi:type="dcterms:W3CDTF">2015-06-05T18:17:20Z</dcterms:created>
  <dcterms:modified xsi:type="dcterms:W3CDTF">2025-11-25T02:26:13Z</dcterms:modified>
</cp:coreProperties>
</file>